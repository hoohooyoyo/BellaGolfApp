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gengch\Documents\trae_projects\HelloTrae\BellaGolfApp\"/>
    </mc:Choice>
  </mc:AlternateContent>
  <bookViews>
    <workbookView xWindow="0" yWindow="0" windowWidth="28770" windowHeight="5340" tabRatio="937"/>
  </bookViews>
  <sheets>
    <sheet name="统计分析" sheetId="20" r:id="rId1"/>
    <sheet name="1号洞" sheetId="1" r:id="rId2"/>
    <sheet name="2号洞" sheetId="2" r:id="rId3"/>
    <sheet name="3号洞" sheetId="3" r:id="rId4"/>
    <sheet name="4号洞" sheetId="4" r:id="rId5"/>
    <sheet name="5号洞" sheetId="5" r:id="rId6"/>
    <sheet name="6号洞" sheetId="6" r:id="rId7"/>
    <sheet name="7号洞" sheetId="7" r:id="rId8"/>
    <sheet name="8号洞" sheetId="8" r:id="rId9"/>
    <sheet name="9号洞" sheetId="9" r:id="rId10"/>
    <sheet name="10号洞" sheetId="10" r:id="rId11"/>
    <sheet name="11号洞" sheetId="11" r:id="rId12"/>
    <sheet name="12号洞" sheetId="12" r:id="rId13"/>
    <sheet name="13号洞" sheetId="13" r:id="rId14"/>
    <sheet name="14号洞" sheetId="14" r:id="rId15"/>
    <sheet name="15号洞" sheetId="15" r:id="rId16"/>
    <sheet name="16号洞" sheetId="16" r:id="rId17"/>
    <sheet name="17号洞" sheetId="17" r:id="rId18"/>
    <sheet name="18号洞" sheetId="18" r:id="rId19"/>
    <sheet name="Sheet1" sheetId="19" r:id="rId20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9" i="20" l="1"/>
  <c r="V11" i="20"/>
  <c r="V10" i="20"/>
  <c r="H7" i="20" a="1"/>
  <c r="H7" i="20" s="1"/>
  <c r="H6" i="20" a="1"/>
  <c r="H6" i="20" s="1"/>
  <c r="H5" i="20" a="1"/>
  <c r="H5" i="20" s="1"/>
  <c r="H4" i="20" a="1"/>
  <c r="H4" i="20" s="1"/>
  <c r="H3" i="20" a="1"/>
  <c r="H3" i="20" s="1"/>
  <c r="H2" i="20" a="1"/>
  <c r="H2" i="20" s="1"/>
  <c r="D13" i="20" a="1"/>
  <c r="D13" i="20" s="1"/>
  <c r="D12" i="20" a="1"/>
  <c r="D12" i="20" s="1"/>
  <c r="D11" i="20" a="1"/>
  <c r="D11" i="20" s="1"/>
  <c r="D10" i="20" a="1"/>
  <c r="D10" i="20" s="1"/>
  <c r="D8" i="20" a="1"/>
  <c r="D8" i="20" s="1"/>
  <c r="D7" i="20" a="1"/>
  <c r="D7" i="20" s="1"/>
  <c r="V3" i="20"/>
  <c r="V2" i="20"/>
  <c r="D18" i="20"/>
  <c r="D17" i="20"/>
  <c r="D16" i="20"/>
  <c r="D15" i="20"/>
  <c r="D14" i="20"/>
  <c r="D9" i="20"/>
  <c r="D5" i="20"/>
  <c r="D4" i="20"/>
  <c r="C86" i="1"/>
  <c r="D3" i="20" s="1"/>
  <c r="B140" i="1"/>
  <c r="B139" i="1"/>
  <c r="B138" i="1"/>
  <c r="B137" i="1"/>
  <c r="B136" i="1"/>
  <c r="C135" i="1"/>
  <c r="B135" i="1"/>
  <c r="C134" i="1"/>
  <c r="C133" i="1"/>
  <c r="B133" i="1"/>
  <c r="I124" i="1" a="1"/>
  <c r="I124" i="1" s="1"/>
  <c r="I108" i="1"/>
  <c r="I107" i="1"/>
  <c r="I106" i="1"/>
  <c r="I105" i="1"/>
  <c r="I104" i="1"/>
  <c r="I103" i="1"/>
  <c r="C96" i="1" s="1"/>
  <c r="C103" i="1"/>
  <c r="E103" i="1" s="1"/>
  <c r="I102" i="1"/>
  <c r="C102" i="1"/>
  <c r="E102" i="1" s="1"/>
  <c r="I101" i="1"/>
  <c r="C101" i="1"/>
  <c r="E101" i="1" s="1"/>
  <c r="C97" i="1"/>
  <c r="F90" i="1"/>
  <c r="H90" i="1" s="1"/>
  <c r="C90" i="1"/>
  <c r="E90" i="1" s="1"/>
  <c r="L89" i="1"/>
  <c r="K89" i="1"/>
  <c r="J89" i="1"/>
  <c r="I89" i="1"/>
  <c r="H89" i="1"/>
  <c r="F89" i="1"/>
  <c r="H86" i="1"/>
  <c r="C85" i="1"/>
  <c r="C84" i="1"/>
  <c r="C89" i="1" s="1"/>
  <c r="E89" i="1" s="1"/>
  <c r="C83" i="1"/>
  <c r="B140" i="2"/>
  <c r="B139" i="2"/>
  <c r="B138" i="2"/>
  <c r="B137" i="2"/>
  <c r="B136" i="2"/>
  <c r="C135" i="2"/>
  <c r="C134" i="2"/>
  <c r="B134" i="2"/>
  <c r="C133" i="2"/>
  <c r="B133" i="2"/>
  <c r="I124" i="2" a="1"/>
  <c r="I124" i="2" s="1"/>
  <c r="I108" i="2"/>
  <c r="I107" i="2"/>
  <c r="I106" i="2"/>
  <c r="I105" i="2"/>
  <c r="I104" i="2"/>
  <c r="I103" i="2"/>
  <c r="C96" i="2" s="1"/>
  <c r="C103" i="2"/>
  <c r="E103" i="2" s="1"/>
  <c r="I102" i="2"/>
  <c r="C102" i="2"/>
  <c r="E102" i="2" s="1"/>
  <c r="I101" i="2"/>
  <c r="C101" i="2"/>
  <c r="E101" i="2" s="1"/>
  <c r="C97" i="2"/>
  <c r="F90" i="2"/>
  <c r="C90" i="2"/>
  <c r="E90" i="2" s="1"/>
  <c r="L89" i="2"/>
  <c r="K89" i="2"/>
  <c r="J89" i="2"/>
  <c r="I89" i="2"/>
  <c r="H89" i="2"/>
  <c r="F89" i="2"/>
  <c r="C86" i="2"/>
  <c r="H86" i="2" s="1"/>
  <c r="C85" i="2"/>
  <c r="C84" i="2"/>
  <c r="C89" i="2" s="1"/>
  <c r="E89" i="2" s="1"/>
  <c r="C83" i="2"/>
  <c r="B140" i="3"/>
  <c r="B139" i="3"/>
  <c r="B138" i="3"/>
  <c r="B137" i="3"/>
  <c r="B136" i="3"/>
  <c r="C135" i="3"/>
  <c r="B135" i="3"/>
  <c r="C134" i="3"/>
  <c r="C133" i="3"/>
  <c r="B133" i="3"/>
  <c r="I124" i="3" a="1"/>
  <c r="I124" i="3" s="1"/>
  <c r="I108" i="3"/>
  <c r="I107" i="3"/>
  <c r="I106" i="3"/>
  <c r="I105" i="3"/>
  <c r="I104" i="3"/>
  <c r="I103" i="3"/>
  <c r="C96" i="3" s="1"/>
  <c r="C103" i="3"/>
  <c r="E103" i="3" s="1"/>
  <c r="I102" i="3"/>
  <c r="C102" i="3"/>
  <c r="E102" i="3" s="1"/>
  <c r="I101" i="3"/>
  <c r="C101" i="3"/>
  <c r="E101" i="3" s="1"/>
  <c r="C97" i="3"/>
  <c r="F90" i="3"/>
  <c r="C90" i="3"/>
  <c r="E90" i="3" s="1"/>
  <c r="L89" i="3"/>
  <c r="K89" i="3"/>
  <c r="J89" i="3"/>
  <c r="I89" i="3"/>
  <c r="H89" i="3"/>
  <c r="F89" i="3"/>
  <c r="C86" i="3"/>
  <c r="H86" i="3" s="1"/>
  <c r="C85" i="3"/>
  <c r="C84" i="3"/>
  <c r="C89" i="3" s="1"/>
  <c r="E89" i="3" s="1"/>
  <c r="C83" i="3"/>
  <c r="B140" i="4"/>
  <c r="B139" i="4"/>
  <c r="B138" i="4"/>
  <c r="B137" i="4"/>
  <c r="B136" i="4"/>
  <c r="C135" i="4"/>
  <c r="C134" i="4"/>
  <c r="B134" i="4"/>
  <c r="C133" i="4"/>
  <c r="B133" i="4"/>
  <c r="I124" i="4" a="1"/>
  <c r="I124" i="4" s="1"/>
  <c r="I108" i="4"/>
  <c r="I107" i="4"/>
  <c r="I106" i="4"/>
  <c r="I105" i="4"/>
  <c r="I104" i="4"/>
  <c r="I103" i="4"/>
  <c r="C96" i="4" s="1"/>
  <c r="C103" i="4"/>
  <c r="E103" i="4" s="1"/>
  <c r="I102" i="4"/>
  <c r="C102" i="4"/>
  <c r="E102" i="4" s="1"/>
  <c r="I101" i="4"/>
  <c r="C101" i="4"/>
  <c r="E101" i="4" s="1"/>
  <c r="C97" i="4"/>
  <c r="F90" i="4"/>
  <c r="E90" i="4"/>
  <c r="C90" i="4"/>
  <c r="L89" i="4"/>
  <c r="K89" i="4"/>
  <c r="J89" i="4"/>
  <c r="I89" i="4"/>
  <c r="H89" i="4"/>
  <c r="F89" i="4"/>
  <c r="C86" i="4"/>
  <c r="H86" i="4" s="1"/>
  <c r="C85" i="4"/>
  <c r="C84" i="4"/>
  <c r="C89" i="4" s="1"/>
  <c r="E89" i="4" s="1"/>
  <c r="C83" i="4"/>
  <c r="B140" i="5"/>
  <c r="B139" i="5"/>
  <c r="B138" i="5"/>
  <c r="B137" i="5"/>
  <c r="B136" i="5"/>
  <c r="C135" i="5"/>
  <c r="B135" i="5"/>
  <c r="C134" i="5"/>
  <c r="B134" i="5"/>
  <c r="C133" i="5"/>
  <c r="I124" i="5" a="1"/>
  <c r="I124" i="5" s="1"/>
  <c r="I108" i="5"/>
  <c r="I107" i="5"/>
  <c r="I106" i="5"/>
  <c r="I105" i="5"/>
  <c r="I104" i="5"/>
  <c r="I103" i="5"/>
  <c r="C96" i="5" s="1"/>
  <c r="C103" i="5"/>
  <c r="E103" i="5" s="1"/>
  <c r="I102" i="5"/>
  <c r="C102" i="5"/>
  <c r="E102" i="5" s="1"/>
  <c r="I101" i="5"/>
  <c r="C101" i="5"/>
  <c r="E101" i="5" s="1"/>
  <c r="C97" i="5"/>
  <c r="F90" i="5"/>
  <c r="H90" i="5" s="1"/>
  <c r="E90" i="5"/>
  <c r="C90" i="5"/>
  <c r="L89" i="5"/>
  <c r="K89" i="5"/>
  <c r="J89" i="5"/>
  <c r="I89" i="5"/>
  <c r="H89" i="5"/>
  <c r="F89" i="5"/>
  <c r="E89" i="5"/>
  <c r="C86" i="5"/>
  <c r="H86" i="5" s="1"/>
  <c r="C85" i="5"/>
  <c r="C84" i="5"/>
  <c r="C89" i="5" s="1"/>
  <c r="C83" i="5"/>
  <c r="B140" i="6"/>
  <c r="B139" i="6"/>
  <c r="B138" i="6"/>
  <c r="B137" i="6"/>
  <c r="B136" i="6"/>
  <c r="C135" i="6"/>
  <c r="B135" i="6"/>
  <c r="C134" i="6"/>
  <c r="C133" i="6"/>
  <c r="B133" i="6"/>
  <c r="I124" i="6" a="1"/>
  <c r="I124" i="6" s="1"/>
  <c r="I108" i="6"/>
  <c r="I107" i="6"/>
  <c r="I106" i="6"/>
  <c r="I105" i="6"/>
  <c r="I104" i="6"/>
  <c r="I103" i="6"/>
  <c r="C96" i="6" s="1"/>
  <c r="C103" i="6"/>
  <c r="E103" i="6" s="1"/>
  <c r="I102" i="6"/>
  <c r="C102" i="6"/>
  <c r="E102" i="6" s="1"/>
  <c r="I101" i="6"/>
  <c r="C101" i="6"/>
  <c r="E101" i="6" s="1"/>
  <c r="C97" i="6"/>
  <c r="F90" i="6"/>
  <c r="E90" i="6"/>
  <c r="C90" i="6"/>
  <c r="L89" i="6"/>
  <c r="K89" i="6"/>
  <c r="J89" i="6"/>
  <c r="I89" i="6"/>
  <c r="H89" i="6"/>
  <c r="F89" i="6"/>
  <c r="C86" i="6"/>
  <c r="H86" i="6" s="1"/>
  <c r="C85" i="6"/>
  <c r="C84" i="6"/>
  <c r="C89" i="6" s="1"/>
  <c r="E89" i="6" s="1"/>
  <c r="C83" i="6"/>
  <c r="B140" i="7"/>
  <c r="B139" i="7"/>
  <c r="B138" i="7"/>
  <c r="B137" i="7"/>
  <c r="B136" i="7"/>
  <c r="C135" i="7"/>
  <c r="B135" i="7"/>
  <c r="C134" i="7"/>
  <c r="B134" i="7"/>
  <c r="C133" i="7"/>
  <c r="I124" i="7" a="1"/>
  <c r="I124" i="7" s="1"/>
  <c r="I108" i="7"/>
  <c r="I107" i="7"/>
  <c r="I106" i="7"/>
  <c r="I105" i="7"/>
  <c r="I104" i="7"/>
  <c r="I103" i="7"/>
  <c r="C96" i="7" s="1"/>
  <c r="C103" i="7"/>
  <c r="E103" i="7" s="1"/>
  <c r="I102" i="7"/>
  <c r="C102" i="7"/>
  <c r="E102" i="7" s="1"/>
  <c r="I101" i="7"/>
  <c r="C101" i="7"/>
  <c r="E101" i="7" s="1"/>
  <c r="C97" i="7"/>
  <c r="F90" i="7"/>
  <c r="H90" i="7" s="1"/>
  <c r="E90" i="7"/>
  <c r="C90" i="7"/>
  <c r="L89" i="7"/>
  <c r="K89" i="7"/>
  <c r="J89" i="7"/>
  <c r="I89" i="7"/>
  <c r="H89" i="7"/>
  <c r="F89" i="7"/>
  <c r="E89" i="7"/>
  <c r="C86" i="7"/>
  <c r="H86" i="7" s="1"/>
  <c r="C85" i="7"/>
  <c r="C84" i="7"/>
  <c r="C89" i="7" s="1"/>
  <c r="C83" i="7"/>
  <c r="B140" i="8"/>
  <c r="B139" i="8"/>
  <c r="B138" i="8"/>
  <c r="B137" i="8"/>
  <c r="B136" i="8"/>
  <c r="C135" i="8"/>
  <c r="B135" i="8"/>
  <c r="C134" i="8"/>
  <c r="C133" i="8"/>
  <c r="B133" i="8"/>
  <c r="I124" i="8" a="1"/>
  <c r="I124" i="8" s="1"/>
  <c r="I108" i="8"/>
  <c r="I107" i="8"/>
  <c r="I106" i="8"/>
  <c r="I105" i="8"/>
  <c r="I104" i="8"/>
  <c r="I103" i="8"/>
  <c r="C96" i="8" s="1"/>
  <c r="C103" i="8"/>
  <c r="E103" i="8" s="1"/>
  <c r="I102" i="8"/>
  <c r="C102" i="8"/>
  <c r="E102" i="8" s="1"/>
  <c r="I101" i="8"/>
  <c r="C101" i="8"/>
  <c r="E101" i="8" s="1"/>
  <c r="C97" i="8"/>
  <c r="F90" i="8"/>
  <c r="E90" i="8"/>
  <c r="C90" i="8"/>
  <c r="L89" i="8"/>
  <c r="K89" i="8"/>
  <c r="J89" i="8"/>
  <c r="I89" i="8"/>
  <c r="H89" i="8"/>
  <c r="F89" i="8"/>
  <c r="C86" i="8"/>
  <c r="C85" i="8"/>
  <c r="C84" i="8"/>
  <c r="C89" i="8" s="1"/>
  <c r="E89" i="8" s="1"/>
  <c r="C83" i="8"/>
  <c r="B140" i="9"/>
  <c r="B139" i="9"/>
  <c r="B138" i="9"/>
  <c r="B137" i="9"/>
  <c r="B136" i="9"/>
  <c r="C135" i="9"/>
  <c r="B135" i="9"/>
  <c r="C134" i="9"/>
  <c r="C133" i="9"/>
  <c r="B133" i="9"/>
  <c r="I124" i="9" a="1"/>
  <c r="I124" i="9" s="1"/>
  <c r="I108" i="9"/>
  <c r="I107" i="9"/>
  <c r="I106" i="9"/>
  <c r="I105" i="9"/>
  <c r="I104" i="9"/>
  <c r="I103" i="9"/>
  <c r="C96" i="9" s="1"/>
  <c r="C103" i="9"/>
  <c r="E103" i="9" s="1"/>
  <c r="I102" i="9"/>
  <c r="C102" i="9"/>
  <c r="E102" i="9" s="1"/>
  <c r="I101" i="9"/>
  <c r="C101" i="9"/>
  <c r="E101" i="9" s="1"/>
  <c r="C97" i="9"/>
  <c r="F90" i="9"/>
  <c r="E90" i="9"/>
  <c r="C90" i="9"/>
  <c r="L89" i="9"/>
  <c r="K89" i="9"/>
  <c r="J89" i="9"/>
  <c r="I89" i="9"/>
  <c r="H89" i="9"/>
  <c r="F89" i="9"/>
  <c r="C86" i="9"/>
  <c r="C85" i="9"/>
  <c r="C84" i="9"/>
  <c r="C89" i="9" s="1"/>
  <c r="E89" i="9" s="1"/>
  <c r="C83" i="9"/>
  <c r="B140" i="10"/>
  <c r="B139" i="10"/>
  <c r="B138" i="10"/>
  <c r="B137" i="10"/>
  <c r="B136" i="10"/>
  <c r="C135" i="10"/>
  <c r="C134" i="10"/>
  <c r="B134" i="10"/>
  <c r="C133" i="10"/>
  <c r="B133" i="10"/>
  <c r="I124" i="10" a="1"/>
  <c r="I124" i="10" s="1"/>
  <c r="I108" i="10"/>
  <c r="I107" i="10"/>
  <c r="I106" i="10"/>
  <c r="I105" i="10"/>
  <c r="I104" i="10"/>
  <c r="I103" i="10"/>
  <c r="C96" i="10" s="1"/>
  <c r="C103" i="10"/>
  <c r="E103" i="10" s="1"/>
  <c r="I102" i="10"/>
  <c r="C102" i="10"/>
  <c r="E102" i="10" s="1"/>
  <c r="I101" i="10"/>
  <c r="C101" i="10"/>
  <c r="E101" i="10" s="1"/>
  <c r="C97" i="10"/>
  <c r="F90" i="10"/>
  <c r="E90" i="10"/>
  <c r="C90" i="10"/>
  <c r="L89" i="10"/>
  <c r="K89" i="10"/>
  <c r="J89" i="10"/>
  <c r="I89" i="10"/>
  <c r="H89" i="10"/>
  <c r="F89" i="10"/>
  <c r="C86" i="10"/>
  <c r="H86" i="10" s="1"/>
  <c r="C85" i="10"/>
  <c r="C88" i="10" s="1"/>
  <c r="C84" i="10"/>
  <c r="C89" i="10" s="1"/>
  <c r="E89" i="10" s="1"/>
  <c r="C83" i="10"/>
  <c r="B140" i="11"/>
  <c r="B139" i="11"/>
  <c r="B138" i="11"/>
  <c r="B137" i="11"/>
  <c r="B136" i="11"/>
  <c r="C135" i="11"/>
  <c r="B135" i="11"/>
  <c r="C134" i="11"/>
  <c r="C133" i="11"/>
  <c r="B133" i="11"/>
  <c r="I124" i="11" a="1"/>
  <c r="I124" i="11" s="1"/>
  <c r="I108" i="11"/>
  <c r="I107" i="11"/>
  <c r="I106" i="11"/>
  <c r="I105" i="11"/>
  <c r="I104" i="11"/>
  <c r="I103" i="11"/>
  <c r="C96" i="11" s="1"/>
  <c r="C103" i="11"/>
  <c r="E103" i="11" s="1"/>
  <c r="I102" i="11"/>
  <c r="C102" i="11"/>
  <c r="E102" i="11" s="1"/>
  <c r="I101" i="11"/>
  <c r="C101" i="11"/>
  <c r="E101" i="11" s="1"/>
  <c r="C97" i="11"/>
  <c r="F90" i="11"/>
  <c r="E90" i="11"/>
  <c r="C90" i="11"/>
  <c r="L89" i="11"/>
  <c r="K89" i="11"/>
  <c r="J89" i="11"/>
  <c r="I89" i="11"/>
  <c r="H89" i="11"/>
  <c r="F89" i="11"/>
  <c r="C86" i="11"/>
  <c r="H86" i="11" s="1"/>
  <c r="C85" i="11"/>
  <c r="C84" i="11"/>
  <c r="C89" i="11" s="1"/>
  <c r="E89" i="11" s="1"/>
  <c r="C83" i="11"/>
  <c r="B140" i="12"/>
  <c r="B139" i="12"/>
  <c r="B138" i="12"/>
  <c r="B137" i="12"/>
  <c r="B136" i="12"/>
  <c r="C135" i="12"/>
  <c r="B135" i="12"/>
  <c r="C134" i="12"/>
  <c r="C133" i="12"/>
  <c r="B133" i="12"/>
  <c r="I124" i="12" a="1"/>
  <c r="I124" i="12" s="1"/>
  <c r="I108" i="12"/>
  <c r="I107" i="12"/>
  <c r="I106" i="12"/>
  <c r="I105" i="12"/>
  <c r="I104" i="12"/>
  <c r="I103" i="12"/>
  <c r="C96" i="12" s="1"/>
  <c r="C103" i="12"/>
  <c r="E103" i="12" s="1"/>
  <c r="I102" i="12"/>
  <c r="C102" i="12"/>
  <c r="E102" i="12" s="1"/>
  <c r="I101" i="12"/>
  <c r="C101" i="12"/>
  <c r="E101" i="12" s="1"/>
  <c r="C97" i="12"/>
  <c r="F90" i="12"/>
  <c r="E90" i="12"/>
  <c r="C90" i="12"/>
  <c r="L89" i="12"/>
  <c r="K89" i="12"/>
  <c r="J89" i="12"/>
  <c r="I89" i="12"/>
  <c r="H89" i="12"/>
  <c r="F89" i="12"/>
  <c r="C86" i="12"/>
  <c r="H86" i="12" s="1"/>
  <c r="C85" i="12"/>
  <c r="C88" i="12" s="1"/>
  <c r="C84" i="12"/>
  <c r="C89" i="12" s="1"/>
  <c r="E89" i="12" s="1"/>
  <c r="C83" i="12"/>
  <c r="B140" i="13"/>
  <c r="B139" i="13"/>
  <c r="B138" i="13"/>
  <c r="B137" i="13"/>
  <c r="B136" i="13"/>
  <c r="C135" i="13"/>
  <c r="B135" i="13"/>
  <c r="C134" i="13"/>
  <c r="C133" i="13"/>
  <c r="B133" i="13"/>
  <c r="I124" i="13" a="1"/>
  <c r="I124" i="13" s="1"/>
  <c r="I108" i="13"/>
  <c r="I107" i="13"/>
  <c r="I106" i="13"/>
  <c r="I105" i="13"/>
  <c r="I104" i="13"/>
  <c r="I103" i="13"/>
  <c r="C96" i="13" s="1"/>
  <c r="C103" i="13"/>
  <c r="E103" i="13" s="1"/>
  <c r="I102" i="13"/>
  <c r="C102" i="13"/>
  <c r="E102" i="13" s="1"/>
  <c r="I101" i="13"/>
  <c r="C101" i="13"/>
  <c r="E101" i="13" s="1"/>
  <c r="C97" i="13"/>
  <c r="F90" i="13"/>
  <c r="E90" i="13"/>
  <c r="C90" i="13"/>
  <c r="L89" i="13"/>
  <c r="K89" i="13"/>
  <c r="J89" i="13"/>
  <c r="I89" i="13"/>
  <c r="H89" i="13"/>
  <c r="F89" i="13"/>
  <c r="C86" i="13"/>
  <c r="H86" i="13" s="1"/>
  <c r="C85" i="13"/>
  <c r="C88" i="13" s="1"/>
  <c r="C84" i="13"/>
  <c r="C89" i="13" s="1"/>
  <c r="E89" i="13" s="1"/>
  <c r="C83" i="13"/>
  <c r="B140" i="14"/>
  <c r="B139" i="14"/>
  <c r="B138" i="14"/>
  <c r="B137" i="14"/>
  <c r="B136" i="14"/>
  <c r="C135" i="14"/>
  <c r="B135" i="14"/>
  <c r="C134" i="14"/>
  <c r="B134" i="14"/>
  <c r="C133" i="14"/>
  <c r="I124" i="14" a="1"/>
  <c r="I124" i="14" s="1"/>
  <c r="I108" i="14"/>
  <c r="I107" i="14"/>
  <c r="I106" i="14"/>
  <c r="I105" i="14"/>
  <c r="I104" i="14"/>
  <c r="I103" i="14"/>
  <c r="C96" i="14" s="1"/>
  <c r="C103" i="14"/>
  <c r="E103" i="14" s="1"/>
  <c r="I102" i="14"/>
  <c r="C102" i="14"/>
  <c r="E102" i="14" s="1"/>
  <c r="I101" i="14"/>
  <c r="C101" i="14"/>
  <c r="E101" i="14" s="1"/>
  <c r="C97" i="14"/>
  <c r="F90" i="14"/>
  <c r="H90" i="14" s="1"/>
  <c r="E90" i="14"/>
  <c r="C90" i="14"/>
  <c r="L89" i="14"/>
  <c r="K89" i="14"/>
  <c r="J89" i="14"/>
  <c r="I89" i="14"/>
  <c r="H89" i="14"/>
  <c r="F89" i="14"/>
  <c r="E89" i="14"/>
  <c r="C86" i="14"/>
  <c r="H86" i="14" s="1"/>
  <c r="C85" i="14"/>
  <c r="C84" i="14"/>
  <c r="C89" i="14" s="1"/>
  <c r="C83" i="14"/>
  <c r="B140" i="15"/>
  <c r="B139" i="15"/>
  <c r="B138" i="15"/>
  <c r="B137" i="15"/>
  <c r="B136" i="15"/>
  <c r="C135" i="15"/>
  <c r="B135" i="15"/>
  <c r="C134" i="15"/>
  <c r="C133" i="15"/>
  <c r="B133" i="15"/>
  <c r="I124" i="15" a="1"/>
  <c r="I124" i="15" s="1"/>
  <c r="I108" i="15"/>
  <c r="I107" i="15"/>
  <c r="I106" i="15"/>
  <c r="I105" i="15"/>
  <c r="C96" i="15" s="1"/>
  <c r="I104" i="15"/>
  <c r="I103" i="15"/>
  <c r="C103" i="15"/>
  <c r="E103" i="15" s="1"/>
  <c r="I102" i="15"/>
  <c r="C94" i="15" s="1"/>
  <c r="C102" i="15"/>
  <c r="E102" i="15" s="1"/>
  <c r="I101" i="15"/>
  <c r="C101" i="15"/>
  <c r="E101" i="15" s="1"/>
  <c r="F90" i="15"/>
  <c r="E90" i="15"/>
  <c r="C90" i="15"/>
  <c r="L89" i="15"/>
  <c r="K89" i="15"/>
  <c r="J89" i="15"/>
  <c r="I89" i="15"/>
  <c r="H89" i="15"/>
  <c r="F89" i="15"/>
  <c r="C86" i="15"/>
  <c r="F86" i="15" s="1"/>
  <c r="C85" i="15"/>
  <c r="C88" i="15" s="1"/>
  <c r="C84" i="15"/>
  <c r="C83" i="15"/>
  <c r="B140" i="16"/>
  <c r="B139" i="16"/>
  <c r="B138" i="16"/>
  <c r="B137" i="16"/>
  <c r="B136" i="16"/>
  <c r="C135" i="16"/>
  <c r="B135" i="16"/>
  <c r="C134" i="16"/>
  <c r="B134" i="16"/>
  <c r="C133" i="16"/>
  <c r="I124" i="16" a="1"/>
  <c r="I124" i="16" s="1"/>
  <c r="I108" i="16"/>
  <c r="I107" i="16"/>
  <c r="I106" i="16"/>
  <c r="I105" i="16"/>
  <c r="I104" i="16"/>
  <c r="I103" i="16"/>
  <c r="C96" i="16" s="1"/>
  <c r="C103" i="16"/>
  <c r="E103" i="16" s="1"/>
  <c r="I102" i="16"/>
  <c r="C102" i="16"/>
  <c r="E102" i="16" s="1"/>
  <c r="I101" i="16"/>
  <c r="C101" i="16"/>
  <c r="E101" i="16" s="1"/>
  <c r="C97" i="16"/>
  <c r="F90" i="16"/>
  <c r="H90" i="16" s="1"/>
  <c r="E90" i="16"/>
  <c r="C90" i="16"/>
  <c r="L89" i="16"/>
  <c r="K89" i="16"/>
  <c r="J89" i="16"/>
  <c r="I89" i="16"/>
  <c r="H89" i="16"/>
  <c r="F89" i="16"/>
  <c r="E89" i="16"/>
  <c r="C86" i="16"/>
  <c r="C85" i="16"/>
  <c r="C84" i="16"/>
  <c r="C89" i="16" s="1"/>
  <c r="C83" i="16"/>
  <c r="B140" i="17"/>
  <c r="B139" i="17"/>
  <c r="B138" i="17"/>
  <c r="B137" i="17"/>
  <c r="B136" i="17"/>
  <c r="C135" i="17"/>
  <c r="B135" i="17"/>
  <c r="C134" i="17"/>
  <c r="C133" i="17"/>
  <c r="B133" i="17"/>
  <c r="I124" i="17" a="1"/>
  <c r="I124" i="17" s="1"/>
  <c r="I108" i="17"/>
  <c r="I107" i="17"/>
  <c r="I106" i="17"/>
  <c r="I105" i="17"/>
  <c r="I104" i="17"/>
  <c r="I103" i="17"/>
  <c r="C96" i="17" s="1"/>
  <c r="C103" i="17"/>
  <c r="E103" i="17" s="1"/>
  <c r="I102" i="17"/>
  <c r="C102" i="17"/>
  <c r="E102" i="17" s="1"/>
  <c r="I101" i="17"/>
  <c r="C101" i="17"/>
  <c r="E101" i="17" s="1"/>
  <c r="F90" i="17"/>
  <c r="E90" i="17"/>
  <c r="C90" i="17"/>
  <c r="L89" i="17"/>
  <c r="K89" i="17"/>
  <c r="J89" i="17"/>
  <c r="I89" i="17"/>
  <c r="H89" i="17"/>
  <c r="F89" i="17"/>
  <c r="C86" i="17"/>
  <c r="H86" i="17" s="1"/>
  <c r="C85" i="17"/>
  <c r="C84" i="17"/>
  <c r="C89" i="17" s="1"/>
  <c r="E89" i="17" s="1"/>
  <c r="C83" i="17"/>
  <c r="K125" i="10" a="1"/>
  <c r="H126" i="11" a="1"/>
  <c r="H125" i="3" a="1"/>
  <c r="J126" i="17" a="1"/>
  <c r="H126" i="4" a="1"/>
  <c r="K126" i="13" a="1"/>
  <c r="K128" i="15" a="1"/>
  <c r="G122" i="11" a="1"/>
  <c r="J125" i="3" a="1"/>
  <c r="J127" i="9" a="1"/>
  <c r="J127" i="11" a="1"/>
  <c r="K126" i="16" a="1"/>
  <c r="G122" i="13" a="1"/>
  <c r="J125" i="6" a="1"/>
  <c r="K125" i="16" a="1"/>
  <c r="J125" i="9" a="1"/>
  <c r="H126" i="10" a="1"/>
  <c r="G122" i="5" a="1"/>
  <c r="H125" i="2" a="1"/>
  <c r="K128" i="7" a="1"/>
  <c r="G118" i="15" a="1"/>
  <c r="K125" i="2" a="1"/>
  <c r="H128" i="14" a="1"/>
  <c r="J128" i="8" a="1"/>
  <c r="G122" i="1" a="1"/>
  <c r="H125" i="13" a="1"/>
  <c r="J125" i="14" a="1"/>
  <c r="H125" i="12" a="1"/>
  <c r="J128" i="16" a="1"/>
  <c r="H126" i="5" a="1"/>
  <c r="J125" i="1" a="1"/>
  <c r="K128" i="2" a="1"/>
  <c r="H126" i="3" a="1"/>
  <c r="J125" i="8" a="1"/>
  <c r="K127" i="8" a="1"/>
  <c r="J128" i="10" a="1"/>
  <c r="J126" i="11" a="1"/>
  <c r="K125" i="15" a="1"/>
  <c r="H128" i="12" a="1"/>
  <c r="G122" i="4" a="1"/>
  <c r="H127" i="7" a="1"/>
  <c r="K128" i="8" a="1"/>
  <c r="K128" i="10" a="1"/>
  <c r="J128" i="13" a="1"/>
  <c r="J126" i="8" a="1"/>
  <c r="C98" i="1" a="1"/>
  <c r="H125" i="4" a="1"/>
  <c r="J128" i="14" a="1"/>
  <c r="K126" i="15" a="1"/>
  <c r="H127" i="4" a="1"/>
  <c r="J128" i="6" a="1"/>
  <c r="J127" i="7" a="1"/>
  <c r="J126" i="4" a="1"/>
  <c r="J125" i="2" a="1"/>
  <c r="H127" i="6" a="1"/>
  <c r="K125" i="7" a="1"/>
  <c r="H125" i="8" a="1"/>
  <c r="H128" i="13" a="1"/>
  <c r="J126" i="5" a="1"/>
  <c r="H126" i="15" a="1"/>
  <c r="J128" i="5" a="1"/>
  <c r="H126" i="2" a="1"/>
  <c r="G122" i="3" a="1"/>
  <c r="K127" i="3" a="1"/>
  <c r="H126" i="7" a="1"/>
  <c r="K128" i="4" a="1"/>
  <c r="K127" i="12" a="1"/>
  <c r="H127" i="1" a="1"/>
  <c r="H127" i="17" a="1"/>
  <c r="K128" i="16" a="1"/>
  <c r="C98" i="9" a="1"/>
  <c r="J128" i="9" a="1"/>
  <c r="J126" i="12" a="1"/>
  <c r="J128" i="1" a="1"/>
  <c r="K125" i="1" a="1"/>
  <c r="K127" i="2" a="1"/>
  <c r="H126" i="1" a="1"/>
  <c r="J128" i="17" a="1"/>
  <c r="J125" i="11" a="1"/>
  <c r="H128" i="6" a="1"/>
  <c r="H126" i="14" a="1"/>
  <c r="K128" i="6" a="1"/>
  <c r="J128" i="7" a="1"/>
  <c r="J125" i="16" a="1"/>
  <c r="H128" i="1" a="1"/>
  <c r="H127" i="10" a="1"/>
  <c r="J128" i="12" a="1"/>
  <c r="G122" i="12" a="1"/>
  <c r="H127" i="9" a="1"/>
  <c r="K126" i="10" a="1"/>
  <c r="H128" i="5" a="1"/>
  <c r="K127" i="1" a="1"/>
  <c r="K126" i="12" a="1"/>
  <c r="K125" i="4" a="1"/>
  <c r="H127" i="11" a="1"/>
  <c r="J127" i="13" a="1"/>
  <c r="K125" i="13" a="1"/>
  <c r="H125" i="6" a="1"/>
  <c r="J125" i="13" a="1"/>
  <c r="K128" i="1" a="1"/>
  <c r="K127" i="17" a="1"/>
  <c r="G122" i="6" a="1"/>
  <c r="K128" i="11" a="1"/>
  <c r="K128" i="13" a="1"/>
  <c r="K128" i="5" a="1"/>
  <c r="H127" i="8" a="1"/>
  <c r="H126" i="13" a="1"/>
  <c r="H128" i="10" a="1"/>
  <c r="H125" i="16" a="1"/>
  <c r="K125" i="12" a="1"/>
  <c r="J125" i="10" a="1"/>
  <c r="J128" i="15" a="1"/>
  <c r="J126" i="2" a="1"/>
  <c r="H125" i="7" a="1"/>
  <c r="C98" i="15" a="1"/>
  <c r="K126" i="9" a="1"/>
  <c r="H126" i="16" a="1"/>
  <c r="J128" i="2" a="1"/>
  <c r="H127" i="16" a="1"/>
  <c r="C98" i="8" a="1"/>
  <c r="G122" i="17" a="1"/>
  <c r="H125" i="17" a="1"/>
  <c r="H127" i="12" a="1"/>
  <c r="J126" i="13" a="1"/>
  <c r="C98" i="2" a="1"/>
  <c r="K127" i="13" a="1"/>
  <c r="J126" i="3" a="1"/>
  <c r="K127" i="4" a="1"/>
  <c r="H126" i="17" a="1"/>
  <c r="G122" i="16" a="1"/>
  <c r="J126" i="9" a="1"/>
  <c r="J126" i="6" a="1"/>
  <c r="J127" i="4" a="1"/>
  <c r="K128" i="14" a="1"/>
  <c r="G122" i="8" a="1"/>
  <c r="K126" i="14" a="1"/>
  <c r="H127" i="14" a="1"/>
  <c r="J128" i="4" a="1"/>
  <c r="G122" i="9" a="1"/>
  <c r="J125" i="17" a="1"/>
  <c r="J127" i="12" a="1"/>
  <c r="K126" i="4" a="1"/>
  <c r="H125" i="11" a="1"/>
  <c r="J128" i="11" a="1"/>
  <c r="K126" i="1" a="1"/>
  <c r="H128" i="8" a="1"/>
  <c r="J127" i="5" a="1"/>
  <c r="H127" i="3" a="1"/>
  <c r="K127" i="6" a="1"/>
  <c r="K128" i="12" a="1"/>
  <c r="K125" i="8" a="1"/>
  <c r="J127" i="16" a="1"/>
  <c r="J127" i="15" a="1"/>
  <c r="K127" i="5" a="1"/>
  <c r="K128" i="9" a="1"/>
  <c r="J125" i="7" a="1"/>
  <c r="K128" i="3" a="1"/>
  <c r="H127" i="5" a="1"/>
  <c r="K127" i="15" a="1"/>
  <c r="J125" i="4" a="1"/>
  <c r="H125" i="5" a="1"/>
  <c r="K125" i="9" a="1"/>
  <c r="K125" i="5" a="1"/>
  <c r="G122" i="2" a="1"/>
  <c r="H128" i="11" a="1"/>
  <c r="J127" i="2" a="1"/>
  <c r="G122" i="7" a="1"/>
  <c r="H128" i="7" a="1"/>
  <c r="K125" i="14" a="1"/>
  <c r="K127" i="10" a="1"/>
  <c r="K126" i="3" a="1"/>
  <c r="K126" i="5" a="1"/>
  <c r="H125" i="15" a="1"/>
  <c r="H126" i="9" a="1"/>
  <c r="J125" i="5" a="1"/>
  <c r="K126" i="6" a="1"/>
  <c r="H128" i="4" a="1"/>
  <c r="J127" i="3" a="1"/>
  <c r="J125" i="15" a="1"/>
  <c r="J127" i="6" a="1"/>
  <c r="K126" i="11" a="1"/>
  <c r="K127" i="11" a="1"/>
  <c r="K125" i="6" a="1"/>
  <c r="H127" i="13" a="1"/>
  <c r="G121" i="15" a="1"/>
  <c r="J128" i="3" a="1"/>
  <c r="H128" i="16" a="1"/>
  <c r="J127" i="8" a="1"/>
  <c r="J127" i="10" a="1"/>
  <c r="H125" i="9" a="1"/>
  <c r="K127" i="7" a="1"/>
  <c r="K127" i="14" a="1"/>
  <c r="H128" i="2" a="1"/>
  <c r="H128" i="15" a="1"/>
  <c r="J127" i="14" a="1"/>
  <c r="G122" i="10" a="1"/>
  <c r="H127" i="2" a="1"/>
  <c r="H128" i="17" a="1"/>
  <c r="J126" i="10" a="1"/>
  <c r="K125" i="11" a="1"/>
  <c r="J127" i="17" a="1"/>
  <c r="J126" i="16" a="1"/>
  <c r="K126" i="2" a="1"/>
  <c r="J125" i="12" a="1"/>
  <c r="K127" i="16" a="1"/>
  <c r="K125" i="17" a="1"/>
  <c r="C98" i="3" a="1"/>
  <c r="H125" i="14" a="1"/>
  <c r="K127" i="9" a="1"/>
  <c r="K128" i="17" a="1"/>
  <c r="H125" i="1" a="1"/>
  <c r="J126" i="15" a="1"/>
  <c r="H126" i="8" a="1"/>
  <c r="H127" i="15" a="1"/>
  <c r="K126" i="8" a="1"/>
  <c r="C98" i="16" a="1"/>
  <c r="J126" i="1" a="1"/>
  <c r="H125" i="10" a="1"/>
  <c r="J126" i="14" a="1"/>
  <c r="G122" i="14" a="1"/>
  <c r="K125" i="3" a="1"/>
  <c r="K126" i="17" a="1"/>
  <c r="J126" i="7" a="1"/>
  <c r="H126" i="6" a="1"/>
  <c r="H128" i="9" a="1"/>
  <c r="H128" i="3" a="1"/>
  <c r="J127" i="1" a="1"/>
  <c r="K126" i="7" a="1"/>
  <c r="G122" i="15" a="1"/>
  <c r="H126" i="12" a="1"/>
  <c r="H90" i="17" l="1"/>
  <c r="C88" i="17"/>
  <c r="F86" i="17"/>
  <c r="C81" i="17"/>
  <c r="I90" i="17"/>
  <c r="C81" i="16"/>
  <c r="B133" i="16" s="1"/>
  <c r="C82" i="16"/>
  <c r="F86" i="16"/>
  <c r="H86" i="16"/>
  <c r="C88" i="16"/>
  <c r="I90" i="16"/>
  <c r="H90" i="15"/>
  <c r="C81" i="15"/>
  <c r="B134" i="15" s="1"/>
  <c r="H86" i="15"/>
  <c r="K90" i="15"/>
  <c r="L90" i="15"/>
  <c r="C88" i="14"/>
  <c r="C81" i="14"/>
  <c r="D81" i="14" s="1"/>
  <c r="I90" i="14"/>
  <c r="J90" i="14"/>
  <c r="H90" i="13"/>
  <c r="C81" i="13"/>
  <c r="C82" i="13" s="1"/>
  <c r="I90" i="13"/>
  <c r="H90" i="12"/>
  <c r="C81" i="12"/>
  <c r="C82" i="12" s="1"/>
  <c r="I90" i="12"/>
  <c r="H90" i="11"/>
  <c r="C88" i="11"/>
  <c r="F86" i="11"/>
  <c r="C81" i="11"/>
  <c r="I90" i="11"/>
  <c r="H90" i="10"/>
  <c r="C81" i="10"/>
  <c r="D81" i="10" s="1"/>
  <c r="I90" i="10"/>
  <c r="J90" i="10"/>
  <c r="C81" i="9"/>
  <c r="C82" i="9" s="1"/>
  <c r="H90" i="9"/>
  <c r="C88" i="9"/>
  <c r="H86" i="9"/>
  <c r="F86" i="9"/>
  <c r="I90" i="9"/>
  <c r="K90" i="9"/>
  <c r="C88" i="8"/>
  <c r="H90" i="8"/>
  <c r="C81" i="8"/>
  <c r="C82" i="8" s="1"/>
  <c r="F86" i="8"/>
  <c r="H86" i="8"/>
  <c r="I90" i="8"/>
  <c r="C88" i="7"/>
  <c r="C81" i="7"/>
  <c r="C82" i="7" s="1"/>
  <c r="F86" i="7"/>
  <c r="I90" i="7"/>
  <c r="C88" i="6"/>
  <c r="F86" i="6"/>
  <c r="H90" i="6"/>
  <c r="C81" i="6"/>
  <c r="C82" i="6" s="1"/>
  <c r="B134" i="6"/>
  <c r="I90" i="6"/>
  <c r="C81" i="5"/>
  <c r="C82" i="5" s="1"/>
  <c r="C88" i="5"/>
  <c r="F86" i="5"/>
  <c r="B133" i="5"/>
  <c r="I90" i="5"/>
  <c r="H90" i="4"/>
  <c r="C81" i="4"/>
  <c r="C82" i="4" s="1"/>
  <c r="C88" i="4"/>
  <c r="F86" i="4"/>
  <c r="B135" i="4"/>
  <c r="I90" i="4"/>
  <c r="C88" i="3"/>
  <c r="H90" i="3"/>
  <c r="C81" i="3"/>
  <c r="C82" i="3" s="1"/>
  <c r="F86" i="3"/>
  <c r="B134" i="3"/>
  <c r="I90" i="3"/>
  <c r="K90" i="3"/>
  <c r="C81" i="2"/>
  <c r="D81" i="2" s="1"/>
  <c r="H90" i="2"/>
  <c r="C88" i="2"/>
  <c r="I90" i="2"/>
  <c r="K90" i="2"/>
  <c r="J90" i="2"/>
  <c r="C88" i="1"/>
  <c r="C81" i="1"/>
  <c r="F86" i="1"/>
  <c r="I90" i="1"/>
  <c r="J90" i="1"/>
  <c r="G122" i="1"/>
  <c r="H122" i="1" s="1"/>
  <c r="C98" i="1"/>
  <c r="J127" i="1"/>
  <c r="J128" i="1"/>
  <c r="H125" i="1"/>
  <c r="J126" i="1"/>
  <c r="K128" i="1"/>
  <c r="K127" i="1"/>
  <c r="H127" i="1"/>
  <c r="J125" i="1"/>
  <c r="K126" i="1"/>
  <c r="H126" i="1"/>
  <c r="K125" i="1"/>
  <c r="H128" i="1"/>
  <c r="K90" i="1"/>
  <c r="L90" i="1"/>
  <c r="C93" i="1"/>
  <c r="C94" i="1"/>
  <c r="C95" i="1"/>
  <c r="C87" i="1"/>
  <c r="F87" i="1" s="1"/>
  <c r="G122" i="2"/>
  <c r="H122" i="2" s="1"/>
  <c r="J128" i="2"/>
  <c r="C98" i="2"/>
  <c r="J127" i="2"/>
  <c r="H125" i="2"/>
  <c r="J126" i="2"/>
  <c r="K128" i="2"/>
  <c r="K127" i="2"/>
  <c r="H127" i="2"/>
  <c r="J125" i="2"/>
  <c r="K126" i="2"/>
  <c r="K125" i="2"/>
  <c r="H126" i="2"/>
  <c r="H128" i="2"/>
  <c r="L90" i="2"/>
  <c r="C93" i="2"/>
  <c r="C94" i="2"/>
  <c r="F86" i="2"/>
  <c r="C95" i="2"/>
  <c r="C87" i="2"/>
  <c r="F87" i="2" s="1"/>
  <c r="G122" i="3"/>
  <c r="H122" i="3" s="1"/>
  <c r="H127" i="3"/>
  <c r="H126" i="3"/>
  <c r="J128" i="3"/>
  <c r="H125" i="3"/>
  <c r="J126" i="3"/>
  <c r="K128" i="3"/>
  <c r="J127" i="3"/>
  <c r="K127" i="3"/>
  <c r="J125" i="3"/>
  <c r="K126" i="3"/>
  <c r="C98" i="3"/>
  <c r="K125" i="3"/>
  <c r="H128" i="3"/>
  <c r="D81" i="3"/>
  <c r="J90" i="3"/>
  <c r="L90" i="3"/>
  <c r="C93" i="3"/>
  <c r="C94" i="3"/>
  <c r="C95" i="3"/>
  <c r="C87" i="3"/>
  <c r="F87" i="3" s="1"/>
  <c r="G122" i="4"/>
  <c r="H122" i="4" s="1"/>
  <c r="H126" i="4"/>
  <c r="J128" i="4"/>
  <c r="H127" i="4"/>
  <c r="J127" i="4"/>
  <c r="H125" i="4"/>
  <c r="J126" i="4"/>
  <c r="K128" i="4"/>
  <c r="K127" i="4"/>
  <c r="J125" i="4"/>
  <c r="K126" i="4"/>
  <c r="K125" i="4"/>
  <c r="H128" i="4"/>
  <c r="D81" i="4"/>
  <c r="J90" i="4"/>
  <c r="K90" i="4"/>
  <c r="L90" i="4"/>
  <c r="C93" i="4"/>
  <c r="C94" i="4"/>
  <c r="C95" i="4"/>
  <c r="C87" i="4"/>
  <c r="F87" i="4" s="1"/>
  <c r="G122" i="5"/>
  <c r="H122" i="5" s="1"/>
  <c r="H126" i="5"/>
  <c r="J128" i="5"/>
  <c r="J127" i="5"/>
  <c r="H125" i="5"/>
  <c r="J126" i="5"/>
  <c r="K128" i="5"/>
  <c r="H127" i="5"/>
  <c r="K127" i="5"/>
  <c r="J125" i="5"/>
  <c r="K126" i="5"/>
  <c r="K125" i="5"/>
  <c r="H128" i="5"/>
  <c r="D81" i="5"/>
  <c r="J90" i="5"/>
  <c r="K90" i="5"/>
  <c r="L90" i="5"/>
  <c r="C93" i="5"/>
  <c r="C94" i="5"/>
  <c r="C95" i="5"/>
  <c r="C87" i="5"/>
  <c r="F87" i="5" s="1"/>
  <c r="G122" i="6"/>
  <c r="H122" i="6" s="1"/>
  <c r="H126" i="6"/>
  <c r="J128" i="6"/>
  <c r="H127" i="6"/>
  <c r="J127" i="6"/>
  <c r="H125" i="6"/>
  <c r="J126" i="6"/>
  <c r="K128" i="6"/>
  <c r="K127" i="6"/>
  <c r="J125" i="6"/>
  <c r="K126" i="6"/>
  <c r="K125" i="6"/>
  <c r="H128" i="6"/>
  <c r="D81" i="6"/>
  <c r="J90" i="6"/>
  <c r="K90" i="6"/>
  <c r="L90" i="6"/>
  <c r="C93" i="6"/>
  <c r="C94" i="6"/>
  <c r="C95" i="6"/>
  <c r="C87" i="6"/>
  <c r="F87" i="6" s="1"/>
  <c r="G122" i="7"/>
  <c r="H122" i="7" s="1"/>
  <c r="H126" i="7"/>
  <c r="J128" i="7"/>
  <c r="J127" i="7"/>
  <c r="H125" i="7"/>
  <c r="J126" i="7"/>
  <c r="K128" i="7"/>
  <c r="H127" i="7"/>
  <c r="K127" i="7"/>
  <c r="J125" i="7"/>
  <c r="K126" i="7"/>
  <c r="K125" i="7"/>
  <c r="H128" i="7"/>
  <c r="D81" i="7"/>
  <c r="J90" i="7"/>
  <c r="K90" i="7"/>
  <c r="L90" i="7"/>
  <c r="C93" i="7"/>
  <c r="C94" i="7"/>
  <c r="C95" i="7"/>
  <c r="C87" i="7"/>
  <c r="F87" i="7" s="1"/>
  <c r="G122" i="8"/>
  <c r="H122" i="8" s="1"/>
  <c r="C98" i="8"/>
  <c r="H126" i="8"/>
  <c r="J128" i="8"/>
  <c r="H127" i="8"/>
  <c r="J127" i="8"/>
  <c r="H125" i="8"/>
  <c r="J126" i="8"/>
  <c r="K128" i="8"/>
  <c r="K127" i="8"/>
  <c r="J125" i="8"/>
  <c r="K126" i="8"/>
  <c r="K125" i="8"/>
  <c r="H128" i="8"/>
  <c r="D81" i="8"/>
  <c r="J90" i="8"/>
  <c r="K90" i="8"/>
  <c r="L90" i="8"/>
  <c r="C93" i="8"/>
  <c r="C94" i="8"/>
  <c r="C95" i="8"/>
  <c r="C87" i="8"/>
  <c r="F87" i="8" s="1"/>
  <c r="G122" i="9"/>
  <c r="H122" i="9" s="1"/>
  <c r="H127" i="9"/>
  <c r="H126" i="9"/>
  <c r="J128" i="9"/>
  <c r="C98" i="9"/>
  <c r="H125" i="9"/>
  <c r="J126" i="9"/>
  <c r="K128" i="9"/>
  <c r="K127" i="9"/>
  <c r="J125" i="9"/>
  <c r="K126" i="9"/>
  <c r="J127" i="9"/>
  <c r="K125" i="9"/>
  <c r="H128" i="9"/>
  <c r="D81" i="9"/>
  <c r="J90" i="9"/>
  <c r="L90" i="9"/>
  <c r="C93" i="9"/>
  <c r="C94" i="9"/>
  <c r="C95" i="9"/>
  <c r="C87" i="9"/>
  <c r="F87" i="9" s="1"/>
  <c r="G122" i="10"/>
  <c r="H122" i="10" s="1"/>
  <c r="J127" i="10"/>
  <c r="H125" i="10"/>
  <c r="J126" i="10"/>
  <c r="K128" i="10"/>
  <c r="J128" i="10"/>
  <c r="K127" i="10"/>
  <c r="J125" i="10"/>
  <c r="K126" i="10"/>
  <c r="H127" i="10"/>
  <c r="K125" i="10"/>
  <c r="H126" i="10"/>
  <c r="H128" i="10"/>
  <c r="C82" i="10"/>
  <c r="K90" i="10"/>
  <c r="L90" i="10"/>
  <c r="C93" i="10"/>
  <c r="C94" i="10"/>
  <c r="F86" i="10"/>
  <c r="C95" i="10"/>
  <c r="C87" i="10"/>
  <c r="F87" i="10" s="1"/>
  <c r="G122" i="11"/>
  <c r="H122" i="11" s="1"/>
  <c r="H126" i="11"/>
  <c r="J128" i="11"/>
  <c r="J127" i="11"/>
  <c r="H127" i="11"/>
  <c r="H125" i="11"/>
  <c r="J126" i="11"/>
  <c r="K128" i="11"/>
  <c r="K127" i="11"/>
  <c r="J125" i="11"/>
  <c r="K126" i="11"/>
  <c r="K125" i="11"/>
  <c r="H128" i="11"/>
  <c r="D81" i="11"/>
  <c r="J90" i="11"/>
  <c r="K90" i="11"/>
  <c r="L90" i="11"/>
  <c r="C93" i="11"/>
  <c r="C94" i="11"/>
  <c r="C95" i="11"/>
  <c r="C87" i="11"/>
  <c r="F87" i="11" s="1"/>
  <c r="G122" i="12"/>
  <c r="H122" i="12" s="1"/>
  <c r="H127" i="12"/>
  <c r="H126" i="12"/>
  <c r="J128" i="12"/>
  <c r="J127" i="12"/>
  <c r="H125" i="12"/>
  <c r="J126" i="12"/>
  <c r="K128" i="12"/>
  <c r="K127" i="12"/>
  <c r="J125" i="12"/>
  <c r="K126" i="12"/>
  <c r="K125" i="12"/>
  <c r="H128" i="12"/>
  <c r="D81" i="12"/>
  <c r="J90" i="12"/>
  <c r="K90" i="12"/>
  <c r="L90" i="12"/>
  <c r="C93" i="12"/>
  <c r="C94" i="12"/>
  <c r="F86" i="12"/>
  <c r="C95" i="12"/>
  <c r="C87" i="12"/>
  <c r="F87" i="12" s="1"/>
  <c r="G122" i="13"/>
  <c r="H122" i="13" s="1"/>
  <c r="H126" i="13"/>
  <c r="J128" i="13"/>
  <c r="H127" i="13"/>
  <c r="J127" i="13"/>
  <c r="H125" i="13"/>
  <c r="J126" i="13"/>
  <c r="K128" i="13"/>
  <c r="K127" i="13"/>
  <c r="J125" i="13"/>
  <c r="K126" i="13"/>
  <c r="K125" i="13"/>
  <c r="H128" i="13"/>
  <c r="D81" i="13"/>
  <c r="J90" i="13"/>
  <c r="K90" i="13"/>
  <c r="L90" i="13"/>
  <c r="C93" i="13"/>
  <c r="C94" i="13"/>
  <c r="F86" i="13"/>
  <c r="C95" i="13"/>
  <c r="C87" i="13"/>
  <c r="F87" i="13" s="1"/>
  <c r="G122" i="14"/>
  <c r="H122" i="14" s="1"/>
  <c r="J127" i="14"/>
  <c r="J128" i="14"/>
  <c r="H125" i="14"/>
  <c r="J126" i="14"/>
  <c r="K128" i="14"/>
  <c r="K127" i="14"/>
  <c r="J125" i="14"/>
  <c r="K126" i="14"/>
  <c r="H126" i="14"/>
  <c r="H127" i="14"/>
  <c r="K125" i="14"/>
  <c r="H128" i="14"/>
  <c r="C82" i="14"/>
  <c r="K90" i="14"/>
  <c r="L90" i="14"/>
  <c r="C93" i="14"/>
  <c r="C94" i="14"/>
  <c r="F86" i="14"/>
  <c r="C95" i="14"/>
  <c r="C87" i="14"/>
  <c r="F87" i="14" s="1"/>
  <c r="G122" i="15"/>
  <c r="H122" i="15" s="1"/>
  <c r="J127" i="15"/>
  <c r="H127" i="15"/>
  <c r="G118" i="15"/>
  <c r="H118" i="15" s="1"/>
  <c r="H126" i="15"/>
  <c r="J128" i="15"/>
  <c r="K128" i="15"/>
  <c r="K127" i="15"/>
  <c r="C98" i="15"/>
  <c r="J125" i="15"/>
  <c r="K126" i="15"/>
  <c r="J126" i="15"/>
  <c r="H125" i="15"/>
  <c r="K125" i="15"/>
  <c r="G121" i="15"/>
  <c r="H121" i="15" s="1"/>
  <c r="H128" i="15"/>
  <c r="D81" i="15"/>
  <c r="C82" i="15"/>
  <c r="C89" i="15"/>
  <c r="E89" i="15" s="1"/>
  <c r="I90" i="15"/>
  <c r="C97" i="15"/>
  <c r="J90" i="15"/>
  <c r="C93" i="15"/>
  <c r="C95" i="15"/>
  <c r="C87" i="15"/>
  <c r="F87" i="15" s="1"/>
  <c r="G122" i="16"/>
  <c r="H122" i="16" s="1"/>
  <c r="C98" i="16"/>
  <c r="H126" i="16"/>
  <c r="J128" i="16"/>
  <c r="J127" i="16"/>
  <c r="H127" i="16"/>
  <c r="H125" i="16"/>
  <c r="J126" i="16"/>
  <c r="K128" i="16"/>
  <c r="K127" i="16"/>
  <c r="J125" i="16"/>
  <c r="K126" i="16"/>
  <c r="K125" i="16"/>
  <c r="H128" i="16"/>
  <c r="D81" i="16"/>
  <c r="J90" i="16"/>
  <c r="K90" i="16"/>
  <c r="L90" i="16"/>
  <c r="C93" i="16"/>
  <c r="C94" i="16"/>
  <c r="C95" i="16"/>
  <c r="C87" i="16"/>
  <c r="F87" i="16" s="1"/>
  <c r="G122" i="17"/>
  <c r="H122" i="17" s="1"/>
  <c r="H126" i="17"/>
  <c r="J128" i="17"/>
  <c r="H127" i="17"/>
  <c r="J127" i="17"/>
  <c r="H125" i="17"/>
  <c r="J126" i="17"/>
  <c r="K128" i="17"/>
  <c r="K127" i="17"/>
  <c r="J125" i="17"/>
  <c r="K126" i="17"/>
  <c r="K125" i="17"/>
  <c r="H128" i="17"/>
  <c r="D81" i="17"/>
  <c r="J90" i="17"/>
  <c r="K90" i="17"/>
  <c r="L90" i="17"/>
  <c r="C97" i="17"/>
  <c r="C93" i="17"/>
  <c r="C94" i="17"/>
  <c r="C95" i="17"/>
  <c r="C87" i="17"/>
  <c r="F87" i="17" s="1"/>
  <c r="G118" i="10" a="1"/>
  <c r="J124" i="14" a="1"/>
  <c r="J124" i="4" a="1"/>
  <c r="C98" i="11" a="1"/>
  <c r="J124" i="2" a="1"/>
  <c r="D119" i="3" a="1"/>
  <c r="D118" i="3" a="1"/>
  <c r="G120" i="11" a="1"/>
  <c r="G121" i="13" a="1"/>
  <c r="C117" i="12" a="1"/>
  <c r="D117" i="15" a="1"/>
  <c r="J124" i="6" a="1"/>
  <c r="G121" i="3" a="1"/>
  <c r="D118" i="14" a="1"/>
  <c r="G120" i="2" a="1"/>
  <c r="C117" i="17" a="1"/>
  <c r="G120" i="3" a="1"/>
  <c r="G120" i="16" a="1"/>
  <c r="G121" i="12" a="1"/>
  <c r="C98" i="7" a="1"/>
  <c r="H124" i="1" a="1"/>
  <c r="G119" i="17" a="1"/>
  <c r="J124" i="13" a="1"/>
  <c r="C117" i="14" a="1"/>
  <c r="D122" i="11" a="1"/>
  <c r="J124" i="16" a="1"/>
  <c r="G119" i="11" a="1"/>
  <c r="D120" i="14" a="1"/>
  <c r="G121" i="8" a="1"/>
  <c r="G118" i="2" a="1"/>
  <c r="H124" i="16" a="1"/>
  <c r="D117" i="1" a="1"/>
  <c r="H124" i="14" a="1"/>
  <c r="D117" i="11" a="1"/>
  <c r="C117" i="4" a="1"/>
  <c r="D118" i="11" a="1"/>
  <c r="G120" i="14" a="1"/>
  <c r="C117" i="16" a="1"/>
  <c r="J124" i="7" a="1"/>
  <c r="C98" i="4" a="1"/>
  <c r="G118" i="8" a="1"/>
  <c r="D119" i="6" a="1"/>
  <c r="C117" i="1" a="1"/>
  <c r="G118" i="17" a="1"/>
  <c r="G118" i="1" a="1"/>
  <c r="H124" i="6" a="1"/>
  <c r="K124" i="9" a="1"/>
  <c r="G121" i="17" a="1"/>
  <c r="G119" i="7" a="1"/>
  <c r="G121" i="6" a="1"/>
  <c r="G120" i="17" a="1"/>
  <c r="D117" i="13" a="1"/>
  <c r="K124" i="15" a="1"/>
  <c r="H124" i="12" a="1"/>
  <c r="D117" i="12" a="1"/>
  <c r="D118" i="6" a="1"/>
  <c r="J124" i="1" a="1"/>
  <c r="G120" i="4" a="1"/>
  <c r="J124" i="3" a="1"/>
  <c r="D121" i="3" a="1"/>
  <c r="H124" i="7" a="1"/>
  <c r="G121" i="9" a="1"/>
  <c r="G121" i="1" a="1"/>
  <c r="D122" i="3" a="1"/>
  <c r="G121" i="4" a="1"/>
  <c r="H124" i="4" a="1"/>
  <c r="D117" i="14" a="1"/>
  <c r="D121" i="16" a="1"/>
  <c r="J124" i="5" a="1"/>
  <c r="G119" i="8" a="1"/>
  <c r="C117" i="6" a="1"/>
  <c r="D117" i="10" a="1"/>
  <c r="K124" i="1" a="1"/>
  <c r="G119" i="10" a="1"/>
  <c r="C117" i="3" a="1"/>
  <c r="C117" i="9" a="1"/>
  <c r="G118" i="13" a="1"/>
  <c r="G119" i="4" a="1"/>
  <c r="C117" i="15" a="1"/>
  <c r="C98" i="5" a="1"/>
  <c r="D120" i="16" a="1"/>
  <c r="G121" i="7" a="1"/>
  <c r="G120" i="13" a="1"/>
  <c r="G120" i="5" a="1"/>
  <c r="G119" i="1" a="1"/>
  <c r="D121" i="14" a="1"/>
  <c r="G120" i="1" a="1"/>
  <c r="D120" i="6" a="1"/>
  <c r="D117" i="9" a="1"/>
  <c r="C98" i="6" a="1"/>
  <c r="H124" i="15" a="1"/>
  <c r="H124" i="11" a="1"/>
  <c r="G120" i="10" a="1"/>
  <c r="G120" i="7" a="1"/>
  <c r="K124" i="5" a="1"/>
  <c r="D117" i="3" a="1"/>
  <c r="D122" i="14" a="1"/>
  <c r="G118" i="6" a="1"/>
  <c r="G118" i="5" a="1"/>
  <c r="G118" i="14" a="1"/>
  <c r="G121" i="10" a="1"/>
  <c r="D117" i="17" a="1"/>
  <c r="D117" i="5" a="1"/>
  <c r="K124" i="12" a="1"/>
  <c r="K124" i="8" a="1"/>
  <c r="G119" i="16" a="1"/>
  <c r="H124" i="8" a="1"/>
  <c r="C98" i="12" a="1"/>
  <c r="G118" i="16" a="1"/>
  <c r="C117" i="2" a="1"/>
  <c r="K124" i="2" a="1"/>
  <c r="H124" i="13" a="1"/>
  <c r="D121" i="6" a="1"/>
  <c r="G120" i="12" a="1"/>
  <c r="C117" i="5" a="1"/>
  <c r="G118" i="12" a="1"/>
  <c r="D117" i="16" a="1"/>
  <c r="K124" i="14" a="1"/>
  <c r="D120" i="3" a="1"/>
  <c r="G118" i="11" a="1"/>
  <c r="K124" i="11" a="1"/>
  <c r="K124" i="4" a="1"/>
  <c r="J124" i="15" a="1"/>
  <c r="D117" i="6" a="1"/>
  <c r="C117" i="8" a="1"/>
  <c r="G120" i="15" a="1"/>
  <c r="D120" i="11" a="1"/>
  <c r="C98" i="17" a="1"/>
  <c r="G119" i="13" a="1"/>
  <c r="G119" i="2" a="1"/>
  <c r="H124" i="3" a="1"/>
  <c r="K124" i="13" a="1"/>
  <c r="C117" i="10" a="1"/>
  <c r="K124" i="3" a="1"/>
  <c r="J124" i="9" a="1"/>
  <c r="G119" i="9" a="1"/>
  <c r="H124" i="5" a="1"/>
  <c r="K124" i="10" a="1"/>
  <c r="K124" i="7" a="1"/>
  <c r="D121" i="11" a="1"/>
  <c r="G121" i="16" a="1"/>
  <c r="G121" i="11" a="1"/>
  <c r="G118" i="9" a="1"/>
  <c r="H124" i="2" a="1"/>
  <c r="J124" i="8" a="1"/>
  <c r="D119" i="14" a="1"/>
  <c r="D118" i="16" a="1"/>
  <c r="G120" i="9" a="1"/>
  <c r="H124" i="17" a="1"/>
  <c r="C117" i="13" a="1"/>
  <c r="G121" i="14" a="1"/>
  <c r="D122" i="6" a="1"/>
  <c r="G120" i="6" a="1"/>
  <c r="J124" i="10" a="1"/>
  <c r="G118" i="7" a="1"/>
  <c r="D119" i="11" a="1"/>
  <c r="D117" i="2" a="1"/>
  <c r="H124" i="9" a="1"/>
  <c r="G119" i="6" a="1"/>
  <c r="D117" i="8" a="1"/>
  <c r="G120" i="8" a="1"/>
  <c r="G119" i="12" a="1"/>
  <c r="J124" i="17" a="1"/>
  <c r="G119" i="15" a="1"/>
  <c r="G118" i="3" a="1"/>
  <c r="K124" i="6" a="1"/>
  <c r="D119" i="16" a="1"/>
  <c r="D122" i="16" a="1"/>
  <c r="C98" i="13" a="1"/>
  <c r="C98" i="10" a="1"/>
  <c r="G118" i="4" a="1"/>
  <c r="D117" i="4" a="1"/>
  <c r="G119" i="5" a="1"/>
  <c r="K124" i="17" a="1"/>
  <c r="G121" i="5" a="1"/>
  <c r="G119" i="3" a="1"/>
  <c r="G121" i="2" a="1"/>
  <c r="K124" i="16" a="1"/>
  <c r="C98" i="14" a="1"/>
  <c r="J124" i="12" a="1"/>
  <c r="H124" i="10" a="1"/>
  <c r="C117" i="11" a="1"/>
  <c r="G119" i="14" a="1"/>
  <c r="C117" i="7" a="1"/>
  <c r="D117" i="7" a="1"/>
  <c r="J124" i="11" a="1"/>
  <c r="D81" i="1" l="1"/>
  <c r="D2" i="20"/>
  <c r="C82" i="1"/>
  <c r="C82" i="17"/>
  <c r="B134" i="17"/>
  <c r="B133" i="14"/>
  <c r="B134" i="13"/>
  <c r="B134" i="12"/>
  <c r="C82" i="11"/>
  <c r="B134" i="11"/>
  <c r="B135" i="10"/>
  <c r="B134" i="9"/>
  <c r="B134" i="8"/>
  <c r="B133" i="7"/>
  <c r="B135" i="2"/>
  <c r="C82" i="2"/>
  <c r="B134" i="1"/>
  <c r="L128" i="1"/>
  <c r="N127" i="1" s="1"/>
  <c r="L125" i="1"/>
  <c r="L128" i="3"/>
  <c r="N126" i="3" s="1"/>
  <c r="G121" i="1"/>
  <c r="H121" i="1" s="1"/>
  <c r="G119" i="1"/>
  <c r="H119" i="1" s="1"/>
  <c r="G118" i="1"/>
  <c r="D117" i="1"/>
  <c r="H124" i="1"/>
  <c r="G120" i="1"/>
  <c r="H120" i="1" s="1"/>
  <c r="J124" i="1"/>
  <c r="K124" i="1"/>
  <c r="C117" i="1"/>
  <c r="L125" i="2"/>
  <c r="L126" i="5"/>
  <c r="L128" i="4"/>
  <c r="N126" i="4" s="1"/>
  <c r="L126" i="1"/>
  <c r="L127" i="1"/>
  <c r="D96" i="1"/>
  <c r="D95" i="1"/>
  <c r="D94" i="1"/>
  <c r="D93" i="1"/>
  <c r="D97" i="1"/>
  <c r="L126" i="2"/>
  <c r="L127" i="3"/>
  <c r="L127" i="2"/>
  <c r="L126" i="3"/>
  <c r="G119" i="2"/>
  <c r="H119" i="2" s="1"/>
  <c r="G121" i="2"/>
  <c r="H121" i="2" s="1"/>
  <c r="G118" i="2"/>
  <c r="H118" i="2" s="1"/>
  <c r="D117" i="2"/>
  <c r="H124" i="2"/>
  <c r="G120" i="2"/>
  <c r="H120" i="2" s="1"/>
  <c r="J124" i="2"/>
  <c r="K124" i="2"/>
  <c r="C117" i="2"/>
  <c r="L125" i="3"/>
  <c r="D96" i="2"/>
  <c r="D95" i="2"/>
  <c r="D94" i="2"/>
  <c r="D93" i="2"/>
  <c r="D97" i="2"/>
  <c r="L128" i="2"/>
  <c r="N126" i="2" s="1"/>
  <c r="L126" i="4"/>
  <c r="G120" i="3"/>
  <c r="H120" i="3" s="1"/>
  <c r="D119" i="3"/>
  <c r="C117" i="3"/>
  <c r="H124" i="3"/>
  <c r="D121" i="3"/>
  <c r="G121" i="3"/>
  <c r="H121" i="3" s="1"/>
  <c r="J124" i="3"/>
  <c r="G119" i="3"/>
  <c r="H119" i="3" s="1"/>
  <c r="D120" i="3"/>
  <c r="K124" i="3"/>
  <c r="D122" i="3"/>
  <c r="D118" i="3"/>
  <c r="G118" i="3"/>
  <c r="H118" i="3" s="1"/>
  <c r="D117" i="3"/>
  <c r="L127" i="4"/>
  <c r="D96" i="3"/>
  <c r="D95" i="3"/>
  <c r="D94" i="3"/>
  <c r="D93" i="3"/>
  <c r="D97" i="3"/>
  <c r="L125" i="4"/>
  <c r="L128" i="5"/>
  <c r="N126" i="5" s="1"/>
  <c r="G120" i="4"/>
  <c r="H120" i="4" s="1"/>
  <c r="C117" i="4"/>
  <c r="G121" i="4"/>
  <c r="H121" i="4" s="1"/>
  <c r="G119" i="4"/>
  <c r="H119" i="4" s="1"/>
  <c r="H124" i="4"/>
  <c r="G118" i="4"/>
  <c r="H118" i="4" s="1"/>
  <c r="J124" i="4"/>
  <c r="K124" i="4"/>
  <c r="D117" i="4"/>
  <c r="C98" i="4"/>
  <c r="L125" i="5"/>
  <c r="L125" i="6"/>
  <c r="L126" i="6"/>
  <c r="G120" i="5"/>
  <c r="H120" i="5" s="1"/>
  <c r="H124" i="5"/>
  <c r="C117" i="5"/>
  <c r="J124" i="5"/>
  <c r="K124" i="5"/>
  <c r="G121" i="5"/>
  <c r="H121" i="5" s="1"/>
  <c r="G119" i="5"/>
  <c r="H119" i="5" s="1"/>
  <c r="G118" i="5"/>
  <c r="H118" i="5" s="1"/>
  <c r="D117" i="5"/>
  <c r="C98" i="5"/>
  <c r="L128" i="6"/>
  <c r="N126" i="6" s="1"/>
  <c r="L127" i="5"/>
  <c r="L128" i="7"/>
  <c r="N126" i="7" s="1"/>
  <c r="L126" i="7"/>
  <c r="L127" i="6"/>
  <c r="D122" i="6"/>
  <c r="G120" i="6"/>
  <c r="H120" i="6" s="1"/>
  <c r="D119" i="6"/>
  <c r="F119" i="6" s="1"/>
  <c r="C117" i="6"/>
  <c r="D121" i="6"/>
  <c r="G121" i="6"/>
  <c r="H121" i="6" s="1"/>
  <c r="G119" i="6"/>
  <c r="H119" i="6" s="1"/>
  <c r="D120" i="6"/>
  <c r="H124" i="6"/>
  <c r="D118" i="6"/>
  <c r="G118" i="6"/>
  <c r="H118" i="6" s="1"/>
  <c r="J124" i="6"/>
  <c r="K124" i="6"/>
  <c r="D117" i="6"/>
  <c r="C98" i="6"/>
  <c r="L125" i="7"/>
  <c r="L126" i="9"/>
  <c r="G120" i="7"/>
  <c r="H120" i="7" s="1"/>
  <c r="C117" i="7"/>
  <c r="G121" i="7"/>
  <c r="H121" i="7" s="1"/>
  <c r="G119" i="7"/>
  <c r="H119" i="7" s="1"/>
  <c r="H124" i="7"/>
  <c r="G118" i="7"/>
  <c r="H118" i="7" s="1"/>
  <c r="J124" i="7"/>
  <c r="K124" i="7"/>
  <c r="D117" i="7"/>
  <c r="C98" i="7"/>
  <c r="L128" i="8"/>
  <c r="N126" i="8" s="1"/>
  <c r="L125" i="8"/>
  <c r="L127" i="7"/>
  <c r="L126" i="8"/>
  <c r="L127" i="8"/>
  <c r="G120" i="8"/>
  <c r="H120" i="8" s="1"/>
  <c r="C117" i="8"/>
  <c r="G121" i="8"/>
  <c r="H121" i="8" s="1"/>
  <c r="H124" i="8"/>
  <c r="G119" i="8"/>
  <c r="H119" i="8" s="1"/>
  <c r="J124" i="8"/>
  <c r="G118" i="8"/>
  <c r="H118" i="8" s="1"/>
  <c r="K124" i="8"/>
  <c r="D117" i="8"/>
  <c r="L128" i="9"/>
  <c r="N126" i="9" s="1"/>
  <c r="L127" i="9"/>
  <c r="L125" i="9"/>
  <c r="D96" i="8"/>
  <c r="D95" i="8"/>
  <c r="D94" i="8"/>
  <c r="D93" i="8"/>
  <c r="D97" i="8"/>
  <c r="L125" i="10"/>
  <c r="J124" i="9"/>
  <c r="G120" i="9"/>
  <c r="H120" i="9" s="1"/>
  <c r="H124" i="9"/>
  <c r="K124" i="9"/>
  <c r="C117" i="9"/>
  <c r="D117" i="9"/>
  <c r="G121" i="9"/>
  <c r="H121" i="9" s="1"/>
  <c r="G119" i="9"/>
  <c r="H119" i="9" s="1"/>
  <c r="G118" i="9"/>
  <c r="H118" i="9" s="1"/>
  <c r="D96" i="9"/>
  <c r="D95" i="9"/>
  <c r="D94" i="9"/>
  <c r="D93" i="9"/>
  <c r="D97" i="9"/>
  <c r="L125" i="11"/>
  <c r="L126" i="11"/>
  <c r="G119" i="10"/>
  <c r="H119" i="10" s="1"/>
  <c r="G121" i="10"/>
  <c r="H121" i="10" s="1"/>
  <c r="G118" i="10"/>
  <c r="H118" i="10" s="1"/>
  <c r="D117" i="10"/>
  <c r="C98" i="10"/>
  <c r="G120" i="10"/>
  <c r="H120" i="10" s="1"/>
  <c r="H124" i="10"/>
  <c r="J124" i="10"/>
  <c r="C117" i="10"/>
  <c r="K124" i="10"/>
  <c r="L128" i="10"/>
  <c r="N126" i="10" s="1"/>
  <c r="L126" i="12"/>
  <c r="L127" i="11"/>
  <c r="L126" i="10"/>
  <c r="L127" i="10"/>
  <c r="L127" i="12"/>
  <c r="D122" i="11"/>
  <c r="F122" i="11" s="1"/>
  <c r="G120" i="11"/>
  <c r="H120" i="11" s="1"/>
  <c r="D119" i="11"/>
  <c r="C117" i="11"/>
  <c r="D121" i="11"/>
  <c r="G121" i="11"/>
  <c r="H121" i="11" s="1"/>
  <c r="G119" i="11"/>
  <c r="H119" i="11" s="1"/>
  <c r="D120" i="11"/>
  <c r="H124" i="11"/>
  <c r="D118" i="11"/>
  <c r="G118" i="11"/>
  <c r="H118" i="11" s="1"/>
  <c r="J124" i="11"/>
  <c r="K124" i="11"/>
  <c r="D117" i="11"/>
  <c r="C98" i="11"/>
  <c r="L128" i="12"/>
  <c r="N127" i="12" s="1"/>
  <c r="L128" i="11"/>
  <c r="N126" i="11" s="1"/>
  <c r="L125" i="12"/>
  <c r="L126" i="16"/>
  <c r="G120" i="12"/>
  <c r="H120" i="12" s="1"/>
  <c r="C117" i="12"/>
  <c r="G119" i="12"/>
  <c r="H119" i="12" s="1"/>
  <c r="G121" i="12"/>
  <c r="H121" i="12" s="1"/>
  <c r="H124" i="12"/>
  <c r="G118" i="12"/>
  <c r="H118" i="12" s="1"/>
  <c r="J124" i="12"/>
  <c r="D117" i="12"/>
  <c r="K124" i="12"/>
  <c r="C98" i="12"/>
  <c r="L127" i="13"/>
  <c r="L128" i="13"/>
  <c r="N127" i="13" s="1"/>
  <c r="L125" i="13"/>
  <c r="L126" i="13"/>
  <c r="L126" i="15"/>
  <c r="L128" i="15"/>
  <c r="N126" i="15" s="1"/>
  <c r="G120" i="13"/>
  <c r="H120" i="13" s="1"/>
  <c r="H124" i="13"/>
  <c r="C117" i="13"/>
  <c r="J124" i="13"/>
  <c r="K124" i="13"/>
  <c r="G119" i="13"/>
  <c r="H119" i="13" s="1"/>
  <c r="G121" i="13"/>
  <c r="H121" i="13" s="1"/>
  <c r="G118" i="13"/>
  <c r="H118" i="13" s="1"/>
  <c r="D117" i="13"/>
  <c r="C98" i="13"/>
  <c r="L128" i="14"/>
  <c r="N128" i="14" s="1"/>
  <c r="L125" i="14"/>
  <c r="L125" i="15"/>
  <c r="L127" i="14"/>
  <c r="D121" i="14"/>
  <c r="F121" i="14" s="1"/>
  <c r="G119" i="14"/>
  <c r="H119" i="14" s="1"/>
  <c r="G121" i="14"/>
  <c r="H121" i="14" s="1"/>
  <c r="G118" i="14"/>
  <c r="H118" i="14" s="1"/>
  <c r="D117" i="14"/>
  <c r="C98" i="14"/>
  <c r="D122" i="14"/>
  <c r="F122" i="14" s="1"/>
  <c r="G120" i="14"/>
  <c r="H120" i="14" s="1"/>
  <c r="D118" i="14"/>
  <c r="F118" i="14" s="1"/>
  <c r="D119" i="14"/>
  <c r="F119" i="14" s="1"/>
  <c r="H124" i="14"/>
  <c r="J124" i="14"/>
  <c r="C117" i="14"/>
  <c r="K124" i="14"/>
  <c r="D120" i="14"/>
  <c r="F120" i="14" s="1"/>
  <c r="L126" i="14"/>
  <c r="L127" i="15"/>
  <c r="L125" i="16"/>
  <c r="D117" i="15"/>
  <c r="J124" i="15"/>
  <c r="H124" i="15"/>
  <c r="G120" i="15"/>
  <c r="H120" i="15" s="1"/>
  <c r="K124" i="15"/>
  <c r="C117" i="15"/>
  <c r="G119" i="15"/>
  <c r="H119" i="15" s="1"/>
  <c r="D96" i="15"/>
  <c r="D95" i="15"/>
  <c r="D94" i="15"/>
  <c r="D93" i="15"/>
  <c r="D97" i="15"/>
  <c r="L128" i="16"/>
  <c r="N127" i="16" s="1"/>
  <c r="L126" i="17"/>
  <c r="L127" i="16"/>
  <c r="L127" i="17"/>
  <c r="D122" i="16"/>
  <c r="G120" i="16"/>
  <c r="H120" i="16" s="1"/>
  <c r="D119" i="16"/>
  <c r="C117" i="16"/>
  <c r="D121" i="16"/>
  <c r="G121" i="16"/>
  <c r="H121" i="16" s="1"/>
  <c r="H124" i="16"/>
  <c r="G119" i="16"/>
  <c r="H119" i="16" s="1"/>
  <c r="D120" i="16"/>
  <c r="J124" i="16"/>
  <c r="D118" i="16"/>
  <c r="G118" i="16"/>
  <c r="H118" i="16" s="1"/>
  <c r="K124" i="16"/>
  <c r="D117" i="16"/>
  <c r="L128" i="17"/>
  <c r="N126" i="17" s="1"/>
  <c r="L125" i="17"/>
  <c r="D96" i="16"/>
  <c r="D95" i="16"/>
  <c r="D94" i="16"/>
  <c r="D93" i="16"/>
  <c r="D97" i="16"/>
  <c r="G120" i="17"/>
  <c r="H120" i="17" s="1"/>
  <c r="C117" i="17"/>
  <c r="G119" i="17"/>
  <c r="H119" i="17" s="1"/>
  <c r="G121" i="17"/>
  <c r="H121" i="17" s="1"/>
  <c r="H124" i="17"/>
  <c r="G118" i="17"/>
  <c r="H118" i="17" s="1"/>
  <c r="J124" i="17"/>
  <c r="D117" i="17"/>
  <c r="K124" i="17"/>
  <c r="C98" i="17"/>
  <c r="H118" i="1" l="1"/>
  <c r="N126" i="1"/>
  <c r="N128" i="3"/>
  <c r="N127" i="3"/>
  <c r="N128" i="1"/>
  <c r="L124" i="2"/>
  <c r="C125" i="2" s="1"/>
  <c r="N128" i="4"/>
  <c r="N127" i="4"/>
  <c r="L124" i="1"/>
  <c r="C129" i="1" s="1"/>
  <c r="N128" i="5"/>
  <c r="N127" i="5"/>
  <c r="L124" i="5"/>
  <c r="C126" i="5" s="1"/>
  <c r="C121" i="1"/>
  <c r="C118" i="1"/>
  <c r="C122" i="1"/>
  <c r="C119" i="1"/>
  <c r="C120" i="1"/>
  <c r="N128" i="2"/>
  <c r="N127" i="2"/>
  <c r="C121" i="2"/>
  <c r="C118" i="2"/>
  <c r="C122" i="2"/>
  <c r="C119" i="2"/>
  <c r="C120" i="2"/>
  <c r="L124" i="3"/>
  <c r="M124" i="3" s="1"/>
  <c r="E119" i="6"/>
  <c r="F120" i="3"/>
  <c r="E120" i="3"/>
  <c r="F118" i="3"/>
  <c r="E118" i="3"/>
  <c r="F121" i="3"/>
  <c r="E121" i="3"/>
  <c r="C121" i="3"/>
  <c r="C118" i="3"/>
  <c r="C122" i="3"/>
  <c r="C119" i="3"/>
  <c r="C120" i="3"/>
  <c r="F119" i="3"/>
  <c r="E119" i="3"/>
  <c r="F122" i="3"/>
  <c r="E122" i="3"/>
  <c r="L124" i="4"/>
  <c r="C125" i="4" s="1"/>
  <c r="C121" i="4"/>
  <c r="C118" i="4"/>
  <c r="C122" i="4"/>
  <c r="C119" i="4"/>
  <c r="C120" i="4"/>
  <c r="D96" i="4"/>
  <c r="D95" i="4"/>
  <c r="D94" i="4"/>
  <c r="D93" i="4"/>
  <c r="D97" i="4"/>
  <c r="N127" i="6"/>
  <c r="N128" i="6"/>
  <c r="C121" i="5"/>
  <c r="C118" i="5"/>
  <c r="C122" i="5"/>
  <c r="C119" i="5"/>
  <c r="C120" i="5"/>
  <c r="N128" i="7"/>
  <c r="D96" i="5"/>
  <c r="D95" i="5"/>
  <c r="D94" i="5"/>
  <c r="D93" i="5"/>
  <c r="D97" i="5"/>
  <c r="N127" i="7"/>
  <c r="L124" i="6"/>
  <c r="C127" i="6" s="1"/>
  <c r="F118" i="6"/>
  <c r="E118" i="6"/>
  <c r="F120" i="6"/>
  <c r="E120" i="6"/>
  <c r="F121" i="6"/>
  <c r="E121" i="6"/>
  <c r="C121" i="6"/>
  <c r="C118" i="6"/>
  <c r="C122" i="6"/>
  <c r="C119" i="6"/>
  <c r="C120" i="6"/>
  <c r="D96" i="6"/>
  <c r="D95" i="6"/>
  <c r="D94" i="6"/>
  <c r="D93" i="6"/>
  <c r="D97" i="6"/>
  <c r="F122" i="6"/>
  <c r="E122" i="6"/>
  <c r="L124" i="8"/>
  <c r="C130" i="8" s="1"/>
  <c r="E121" i="10"/>
  <c r="N128" i="9"/>
  <c r="N127" i="8"/>
  <c r="L124" i="7"/>
  <c r="C130" i="7" s="1"/>
  <c r="N127" i="9"/>
  <c r="N128" i="8"/>
  <c r="D96" i="7"/>
  <c r="D95" i="7"/>
  <c r="D94" i="7"/>
  <c r="D93" i="7"/>
  <c r="D97" i="7"/>
  <c r="C121" i="7"/>
  <c r="C118" i="7"/>
  <c r="C122" i="7"/>
  <c r="C119" i="7"/>
  <c r="C120" i="7"/>
  <c r="E120" i="10"/>
  <c r="E118" i="10"/>
  <c r="E122" i="10"/>
  <c r="C121" i="8"/>
  <c r="C118" i="8"/>
  <c r="C122" i="8"/>
  <c r="C119" i="8"/>
  <c r="C120" i="8"/>
  <c r="N128" i="15"/>
  <c r="N127" i="14"/>
  <c r="E119" i="10"/>
  <c r="E121" i="9"/>
  <c r="E120" i="9"/>
  <c r="C121" i="9"/>
  <c r="C118" i="9"/>
  <c r="C120" i="9"/>
  <c r="C122" i="9"/>
  <c r="C119" i="9"/>
  <c r="N128" i="10"/>
  <c r="N127" i="10"/>
  <c r="E119" i="9"/>
  <c r="L124" i="9"/>
  <c r="M124" i="9" s="1"/>
  <c r="E118" i="9"/>
  <c r="E122" i="9"/>
  <c r="E122" i="14"/>
  <c r="E122" i="11"/>
  <c r="D96" i="10"/>
  <c r="D95" i="10"/>
  <c r="D94" i="10"/>
  <c r="D93" i="10"/>
  <c r="D97" i="10"/>
  <c r="C121" i="10"/>
  <c r="C118" i="10"/>
  <c r="C122" i="10"/>
  <c r="C119" i="10"/>
  <c r="C120" i="10"/>
  <c r="L124" i="10"/>
  <c r="M124" i="10" s="1"/>
  <c r="N126" i="12"/>
  <c r="L124" i="11"/>
  <c r="C128" i="11" s="1"/>
  <c r="F118" i="11"/>
  <c r="E118" i="11"/>
  <c r="F120" i="11"/>
  <c r="E120" i="11"/>
  <c r="E118" i="14"/>
  <c r="N127" i="15"/>
  <c r="E121" i="14"/>
  <c r="N128" i="13"/>
  <c r="N128" i="12"/>
  <c r="N128" i="11"/>
  <c r="N126" i="13"/>
  <c r="N127" i="11"/>
  <c r="F121" i="11"/>
  <c r="E121" i="11"/>
  <c r="C121" i="11"/>
  <c r="C118" i="11"/>
  <c r="C122" i="11"/>
  <c r="C119" i="11"/>
  <c r="C120" i="11"/>
  <c r="N126" i="14"/>
  <c r="D96" i="11"/>
  <c r="D95" i="11"/>
  <c r="D94" i="11"/>
  <c r="D93" i="11"/>
  <c r="D97" i="11"/>
  <c r="F119" i="11"/>
  <c r="E119" i="11"/>
  <c r="L124" i="12"/>
  <c r="C130" i="12" s="1"/>
  <c r="N126" i="16"/>
  <c r="D96" i="12"/>
  <c r="D95" i="12"/>
  <c r="D94" i="12"/>
  <c r="D93" i="12"/>
  <c r="D97" i="12"/>
  <c r="C121" i="12"/>
  <c r="C118" i="12"/>
  <c r="C122" i="12"/>
  <c r="C119" i="12"/>
  <c r="C120" i="12"/>
  <c r="L124" i="13"/>
  <c r="M124" i="13" s="1"/>
  <c r="C121" i="13"/>
  <c r="C118" i="13"/>
  <c r="C122" i="13"/>
  <c r="C119" i="13"/>
  <c r="C120" i="13"/>
  <c r="D96" i="13"/>
  <c r="D95" i="13"/>
  <c r="D94" i="13"/>
  <c r="D93" i="13"/>
  <c r="D97" i="13"/>
  <c r="E120" i="14"/>
  <c r="L124" i="15"/>
  <c r="M124" i="15" s="1"/>
  <c r="L124" i="14"/>
  <c r="C129" i="14" s="1"/>
  <c r="E119" i="14"/>
  <c r="D96" i="14"/>
  <c r="D95" i="14"/>
  <c r="D94" i="14"/>
  <c r="D93" i="14"/>
  <c r="D97" i="14"/>
  <c r="C121" i="14"/>
  <c r="C118" i="14"/>
  <c r="C122" i="14"/>
  <c r="C119" i="14"/>
  <c r="C120" i="14"/>
  <c r="N128" i="16"/>
  <c r="C121" i="15"/>
  <c r="C118" i="15"/>
  <c r="C120" i="15"/>
  <c r="C122" i="15"/>
  <c r="C119" i="15"/>
  <c r="N128" i="17"/>
  <c r="L124" i="16"/>
  <c r="C130" i="16" s="1"/>
  <c r="L124" i="17"/>
  <c r="C127" i="17" s="1"/>
  <c r="F118" i="16"/>
  <c r="E118" i="16"/>
  <c r="F120" i="16"/>
  <c r="E120" i="16"/>
  <c r="N127" i="17"/>
  <c r="F121" i="16"/>
  <c r="E121" i="16"/>
  <c r="C121" i="16"/>
  <c r="C118" i="16"/>
  <c r="C122" i="16"/>
  <c r="C119" i="16"/>
  <c r="C120" i="16"/>
  <c r="F119" i="16"/>
  <c r="E119" i="16"/>
  <c r="F122" i="16"/>
  <c r="E122" i="16"/>
  <c r="C121" i="17"/>
  <c r="C118" i="17"/>
  <c r="C122" i="17"/>
  <c r="C119" i="17"/>
  <c r="C120" i="17"/>
  <c r="D96" i="17"/>
  <c r="D95" i="17"/>
  <c r="D94" i="17"/>
  <c r="D93" i="17"/>
  <c r="D97" i="17"/>
  <c r="D122" i="13" a="1"/>
  <c r="D122" i="17" a="1"/>
  <c r="D118" i="5" a="1"/>
  <c r="D120" i="12" a="1"/>
  <c r="D120" i="5" a="1"/>
  <c r="D120" i="1" a="1"/>
  <c r="D122" i="2" a="1"/>
  <c r="D120" i="17" a="1"/>
  <c r="D121" i="4" a="1"/>
  <c r="D121" i="8" a="1"/>
  <c r="D119" i="17" a="1"/>
  <c r="D121" i="15" a="1"/>
  <c r="D121" i="12" a="1"/>
  <c r="D119" i="4" a="1"/>
  <c r="D122" i="9" a="1"/>
  <c r="D118" i="7" a="1"/>
  <c r="D121" i="1" a="1"/>
  <c r="D118" i="12" a="1"/>
  <c r="D122" i="5" a="1"/>
  <c r="D120" i="15" a="1"/>
  <c r="D121" i="10" a="1"/>
  <c r="D119" i="1" a="1"/>
  <c r="D122" i="1" a="1"/>
  <c r="D118" i="15" a="1"/>
  <c r="D118" i="17" a="1"/>
  <c r="D119" i="8" a="1"/>
  <c r="D118" i="2" a="1"/>
  <c r="D118" i="13" a="1"/>
  <c r="D120" i="10" a="1"/>
  <c r="D120" i="13" a="1"/>
  <c r="D119" i="13" a="1"/>
  <c r="D121" i="7" a="1"/>
  <c r="D122" i="7" a="1"/>
  <c r="D119" i="12" a="1"/>
  <c r="D122" i="4" a="1"/>
  <c r="D119" i="7" a="1"/>
  <c r="D120" i="4" a="1"/>
  <c r="D122" i="12" a="1"/>
  <c r="D122" i="10" a="1"/>
  <c r="D121" i="13" a="1"/>
  <c r="D118" i="10" a="1"/>
  <c r="D121" i="17" a="1"/>
  <c r="D120" i="9" a="1"/>
  <c r="D118" i="8" a="1"/>
  <c r="D122" i="15" a="1"/>
  <c r="D118" i="4" a="1"/>
  <c r="D121" i="2" a="1"/>
  <c r="D121" i="9" a="1"/>
  <c r="D119" i="15" a="1"/>
  <c r="D119" i="5" a="1"/>
  <c r="D118" i="9" a="1"/>
  <c r="D122" i="8" a="1"/>
  <c r="D120" i="7" a="1"/>
  <c r="D119" i="9" a="1"/>
  <c r="D120" i="8" a="1"/>
  <c r="D119" i="2" a="1"/>
  <c r="D119" i="10" a="1"/>
  <c r="D121" i="5" a="1"/>
  <c r="D120" i="2" a="1"/>
  <c r="D118" i="1" a="1"/>
  <c r="C130" i="2" l="1"/>
  <c r="D119" i="17"/>
  <c r="D122" i="17"/>
  <c r="D118" i="17"/>
  <c r="D121" i="17"/>
  <c r="D120" i="17"/>
  <c r="D120" i="15"/>
  <c r="D122" i="15"/>
  <c r="D118" i="15"/>
  <c r="D121" i="15"/>
  <c r="D119" i="15"/>
  <c r="D122" i="13"/>
  <c r="D121" i="13"/>
  <c r="D119" i="13"/>
  <c r="D120" i="13"/>
  <c r="D118" i="13"/>
  <c r="D118" i="12"/>
  <c r="D122" i="12"/>
  <c r="D121" i="12"/>
  <c r="D119" i="12"/>
  <c r="D120" i="12"/>
  <c r="D120" i="10"/>
  <c r="F120" i="10" s="1"/>
  <c r="D119" i="10"/>
  <c r="F119" i="10" s="1"/>
  <c r="D122" i="10"/>
  <c r="F122" i="10" s="1"/>
  <c r="D118" i="10"/>
  <c r="F118" i="10" s="1"/>
  <c r="D121" i="10"/>
  <c r="F121" i="10" s="1"/>
  <c r="D120" i="9"/>
  <c r="F120" i="9" s="1"/>
  <c r="D118" i="9"/>
  <c r="F118" i="9" s="1"/>
  <c r="D121" i="9"/>
  <c r="F121" i="9" s="1"/>
  <c r="D122" i="9"/>
  <c r="F122" i="9" s="1"/>
  <c r="D119" i="9"/>
  <c r="F119" i="9" s="1"/>
  <c r="D120" i="8"/>
  <c r="D119" i="8"/>
  <c r="D122" i="8"/>
  <c r="D118" i="8"/>
  <c r="D121" i="8"/>
  <c r="D120" i="7"/>
  <c r="D119" i="7"/>
  <c r="D122" i="7"/>
  <c r="D118" i="7"/>
  <c r="D121" i="7"/>
  <c r="C128" i="2"/>
  <c r="C127" i="2"/>
  <c r="D120" i="5"/>
  <c r="D119" i="5"/>
  <c r="D122" i="5"/>
  <c r="D118" i="5"/>
  <c r="D121" i="5"/>
  <c r="D120" i="4"/>
  <c r="D119" i="4"/>
  <c r="D122" i="4"/>
  <c r="D118" i="4"/>
  <c r="D121" i="4"/>
  <c r="M124" i="2"/>
  <c r="D127" i="2" s="1"/>
  <c r="E127" i="2" s="1"/>
  <c r="C126" i="2"/>
  <c r="D120" i="2"/>
  <c r="D119" i="2"/>
  <c r="D122" i="2"/>
  <c r="D118" i="2"/>
  <c r="D121" i="2"/>
  <c r="D120" i="1"/>
  <c r="D119" i="1"/>
  <c r="D122" i="1"/>
  <c r="D118" i="1"/>
  <c r="D121" i="1"/>
  <c r="M124" i="1"/>
  <c r="D127" i="1" s="1"/>
  <c r="C129" i="2"/>
  <c r="C130" i="5"/>
  <c r="C130" i="1"/>
  <c r="C126" i="1"/>
  <c r="C127" i="1"/>
  <c r="C128" i="1"/>
  <c r="C125" i="1"/>
  <c r="M124" i="4"/>
  <c r="D128" i="4" s="1"/>
  <c r="E128" i="4" s="1"/>
  <c r="C130" i="3"/>
  <c r="C125" i="5"/>
  <c r="C129" i="5"/>
  <c r="M124" i="5"/>
  <c r="D127" i="5" s="1"/>
  <c r="E127" i="5" s="1"/>
  <c r="C128" i="5"/>
  <c r="C127" i="5"/>
  <c r="C125" i="3"/>
  <c r="C127" i="3"/>
  <c r="M124" i="6"/>
  <c r="D128" i="6" s="1"/>
  <c r="E128" i="6" s="1"/>
  <c r="C126" i="3"/>
  <c r="C129" i="3"/>
  <c r="C128" i="3"/>
  <c r="D130" i="3"/>
  <c r="E130" i="3" s="1"/>
  <c r="D126" i="3"/>
  <c r="E126" i="3" s="1"/>
  <c r="D127" i="3"/>
  <c r="E127" i="3" s="1"/>
  <c r="D125" i="3"/>
  <c r="E125" i="3" s="1"/>
  <c r="D128" i="3"/>
  <c r="E128" i="3" s="1"/>
  <c r="D129" i="3"/>
  <c r="E129" i="3" s="1"/>
  <c r="C130" i="6"/>
  <c r="C128" i="4"/>
  <c r="C127" i="4"/>
  <c r="C126" i="4"/>
  <c r="C130" i="4"/>
  <c r="C129" i="4"/>
  <c r="C126" i="6"/>
  <c r="M124" i="8"/>
  <c r="D128" i="8" s="1"/>
  <c r="E128" i="8" s="1"/>
  <c r="C125" i="8"/>
  <c r="C129" i="8"/>
  <c r="C128" i="8"/>
  <c r="C127" i="8"/>
  <c r="C126" i="8"/>
  <c r="C125" i="6"/>
  <c r="C129" i="6"/>
  <c r="C128" i="6"/>
  <c r="C125" i="7"/>
  <c r="C128" i="7"/>
  <c r="M124" i="7"/>
  <c r="D127" i="7" s="1"/>
  <c r="E127" i="7" s="1"/>
  <c r="C129" i="7"/>
  <c r="C126" i="7"/>
  <c r="C127" i="7"/>
  <c r="M124" i="11"/>
  <c r="D130" i="11" s="1"/>
  <c r="E130" i="11" s="1"/>
  <c r="C130" i="9"/>
  <c r="C126" i="9"/>
  <c r="C127" i="9"/>
  <c r="C128" i="9"/>
  <c r="C129" i="9"/>
  <c r="C125" i="9"/>
  <c r="D130" i="9"/>
  <c r="E130" i="9" s="1"/>
  <c r="D126" i="9"/>
  <c r="E126" i="9" s="1"/>
  <c r="D127" i="9"/>
  <c r="E127" i="9" s="1"/>
  <c r="D128" i="9"/>
  <c r="E128" i="9" s="1"/>
  <c r="D129" i="9"/>
  <c r="E129" i="9" s="1"/>
  <c r="D125" i="9"/>
  <c r="E125" i="9" s="1"/>
  <c r="C128" i="13"/>
  <c r="C125" i="13"/>
  <c r="C125" i="11"/>
  <c r="C129" i="11"/>
  <c r="D130" i="10"/>
  <c r="E130" i="10" s="1"/>
  <c r="D126" i="10"/>
  <c r="E126" i="10" s="1"/>
  <c r="D127" i="10"/>
  <c r="E127" i="10" s="1"/>
  <c r="D128" i="10"/>
  <c r="E128" i="10" s="1"/>
  <c r="D129" i="10"/>
  <c r="E129" i="10" s="1"/>
  <c r="D125" i="10"/>
  <c r="E125" i="10" s="1"/>
  <c r="C127" i="11"/>
  <c r="C130" i="10"/>
  <c r="C126" i="10"/>
  <c r="C127" i="10"/>
  <c r="C128" i="10"/>
  <c r="C125" i="10"/>
  <c r="C129" i="10"/>
  <c r="C126" i="11"/>
  <c r="C130" i="11"/>
  <c r="C128" i="15"/>
  <c r="C127" i="15"/>
  <c r="C130" i="15"/>
  <c r="C127" i="13"/>
  <c r="C125" i="12"/>
  <c r="C129" i="12"/>
  <c r="C128" i="12"/>
  <c r="C127" i="12"/>
  <c r="M124" i="12"/>
  <c r="D126" i="12" s="1"/>
  <c r="E126" i="12" s="1"/>
  <c r="C126" i="12"/>
  <c r="C125" i="15"/>
  <c r="C129" i="15"/>
  <c r="C126" i="13"/>
  <c r="C126" i="15"/>
  <c r="C130" i="13"/>
  <c r="C127" i="14"/>
  <c r="C129" i="13"/>
  <c r="C125" i="14"/>
  <c r="C130" i="14"/>
  <c r="M124" i="14"/>
  <c r="D130" i="14" s="1"/>
  <c r="E130" i="14" s="1"/>
  <c r="D130" i="13"/>
  <c r="E130" i="13" s="1"/>
  <c r="D126" i="13"/>
  <c r="E126" i="13" s="1"/>
  <c r="D127" i="13"/>
  <c r="E127" i="13" s="1"/>
  <c r="D128" i="13"/>
  <c r="E128" i="13" s="1"/>
  <c r="D129" i="13"/>
  <c r="E129" i="13" s="1"/>
  <c r="D125" i="13"/>
  <c r="E125" i="13" s="1"/>
  <c r="C126" i="14"/>
  <c r="C128" i="14"/>
  <c r="D125" i="15"/>
  <c r="E125" i="15" s="1"/>
  <c r="D130" i="15"/>
  <c r="E130" i="15" s="1"/>
  <c r="D126" i="15"/>
  <c r="E126" i="15" s="1"/>
  <c r="D127" i="15"/>
  <c r="E127" i="15" s="1"/>
  <c r="D128" i="15"/>
  <c r="E128" i="15" s="1"/>
  <c r="D129" i="15"/>
  <c r="E129" i="15" s="1"/>
  <c r="C129" i="17"/>
  <c r="M124" i="17"/>
  <c r="D130" i="17" s="1"/>
  <c r="E130" i="17" s="1"/>
  <c r="C126" i="17"/>
  <c r="C130" i="17"/>
  <c r="M124" i="16"/>
  <c r="D130" i="16" s="1"/>
  <c r="E130" i="16" s="1"/>
  <c r="C129" i="16"/>
  <c r="C127" i="16"/>
  <c r="C125" i="16"/>
  <c r="C125" i="17"/>
  <c r="C128" i="16"/>
  <c r="C128" i="17"/>
  <c r="C126" i="16"/>
  <c r="E127" i="1" l="1"/>
  <c r="F120" i="17"/>
  <c r="E120" i="17"/>
  <c r="F121" i="17"/>
  <c r="E121" i="17"/>
  <c r="F118" i="17"/>
  <c r="E118" i="17"/>
  <c r="F122" i="17"/>
  <c r="E122" i="17"/>
  <c r="F119" i="17"/>
  <c r="E119" i="17"/>
  <c r="F119" i="15"/>
  <c r="E119" i="15"/>
  <c r="F121" i="15"/>
  <c r="E121" i="15"/>
  <c r="F118" i="15"/>
  <c r="E118" i="15"/>
  <c r="F122" i="15"/>
  <c r="E122" i="15"/>
  <c r="F120" i="15"/>
  <c r="E120" i="15"/>
  <c r="F118" i="13"/>
  <c r="E118" i="13"/>
  <c r="F120" i="13"/>
  <c r="E120" i="13"/>
  <c r="F119" i="13"/>
  <c r="E119" i="13"/>
  <c r="F121" i="13"/>
  <c r="E121" i="13"/>
  <c r="F122" i="13"/>
  <c r="E122" i="13"/>
  <c r="F120" i="12"/>
  <c r="E120" i="12"/>
  <c r="F119" i="12"/>
  <c r="E119" i="12"/>
  <c r="E121" i="12"/>
  <c r="F121" i="12"/>
  <c r="F122" i="12"/>
  <c r="E122" i="12"/>
  <c r="F118" i="12"/>
  <c r="E118" i="12"/>
  <c r="F121" i="8"/>
  <c r="E121" i="8"/>
  <c r="F118" i="8"/>
  <c r="E118" i="8"/>
  <c r="F122" i="8"/>
  <c r="E122" i="8"/>
  <c r="F119" i="8"/>
  <c r="E119" i="8"/>
  <c r="F120" i="8"/>
  <c r="E120" i="8"/>
  <c r="F121" i="7"/>
  <c r="E121" i="7"/>
  <c r="F118" i="7"/>
  <c r="E118" i="7"/>
  <c r="F122" i="7"/>
  <c r="E122" i="7"/>
  <c r="E119" i="7"/>
  <c r="F119" i="7"/>
  <c r="F120" i="7"/>
  <c r="E120" i="7"/>
  <c r="D125" i="2"/>
  <c r="E125" i="2" s="1"/>
  <c r="D128" i="2"/>
  <c r="E128" i="2" s="1"/>
  <c r="D126" i="2"/>
  <c r="E126" i="2" s="1"/>
  <c r="D130" i="2"/>
  <c r="E130" i="2" s="1"/>
  <c r="E121" i="5"/>
  <c r="F121" i="5"/>
  <c r="F118" i="5"/>
  <c r="E118" i="5"/>
  <c r="D129" i="2"/>
  <c r="E129" i="2" s="1"/>
  <c r="F122" i="5"/>
  <c r="E122" i="5"/>
  <c r="E119" i="5"/>
  <c r="F119" i="5"/>
  <c r="F120" i="5"/>
  <c r="E120" i="5"/>
  <c r="E121" i="4"/>
  <c r="F121" i="4"/>
  <c r="F118" i="4"/>
  <c r="E118" i="4"/>
  <c r="E122" i="4"/>
  <c r="F122" i="4"/>
  <c r="F119" i="4"/>
  <c r="E119" i="4"/>
  <c r="F120" i="4"/>
  <c r="E120" i="4"/>
  <c r="F121" i="2"/>
  <c r="E121" i="2"/>
  <c r="F118" i="2"/>
  <c r="E118" i="2"/>
  <c r="F122" i="2"/>
  <c r="E122" i="2"/>
  <c r="F119" i="2"/>
  <c r="E119" i="2"/>
  <c r="F120" i="2"/>
  <c r="E120" i="2"/>
  <c r="D126" i="1"/>
  <c r="D130" i="1"/>
  <c r="D125" i="1"/>
  <c r="D129" i="1"/>
  <c r="D128" i="1"/>
  <c r="F121" i="1"/>
  <c r="E121" i="1"/>
  <c r="F118" i="1"/>
  <c r="E118" i="1"/>
  <c r="F122" i="1"/>
  <c r="E122" i="1"/>
  <c r="F119" i="1"/>
  <c r="E119" i="1"/>
  <c r="F120" i="1"/>
  <c r="E120" i="1"/>
  <c r="D126" i="4"/>
  <c r="E126" i="4" s="1"/>
  <c r="D127" i="4"/>
  <c r="E127" i="4" s="1"/>
  <c r="D130" i="4"/>
  <c r="E130" i="4" s="1"/>
  <c r="D125" i="4"/>
  <c r="E125" i="4" s="1"/>
  <c r="D129" i="4"/>
  <c r="E129" i="4" s="1"/>
  <c r="D125" i="6"/>
  <c r="E125" i="6" s="1"/>
  <c r="D129" i="6"/>
  <c r="E129" i="6" s="1"/>
  <c r="D130" i="5"/>
  <c r="E130" i="5" s="1"/>
  <c r="D127" i="6"/>
  <c r="E127" i="6" s="1"/>
  <c r="D129" i="5"/>
  <c r="E129" i="5" s="1"/>
  <c r="D126" i="6"/>
  <c r="E126" i="6" s="1"/>
  <c r="D130" i="6"/>
  <c r="E130" i="6" s="1"/>
  <c r="D128" i="5"/>
  <c r="E128" i="5" s="1"/>
  <c r="D126" i="5"/>
  <c r="E126" i="5" s="1"/>
  <c r="D125" i="5"/>
  <c r="E125" i="5" s="1"/>
  <c r="D127" i="8"/>
  <c r="E127" i="8" s="1"/>
  <c r="D126" i="8"/>
  <c r="E126" i="8" s="1"/>
  <c r="D130" i="8"/>
  <c r="E130" i="8" s="1"/>
  <c r="D125" i="8"/>
  <c r="E125" i="8" s="1"/>
  <c r="D129" i="8"/>
  <c r="E129" i="8" s="1"/>
  <c r="D125" i="11"/>
  <c r="E125" i="11" s="1"/>
  <c r="D129" i="11"/>
  <c r="E129" i="11" s="1"/>
  <c r="D128" i="11"/>
  <c r="E128" i="11" s="1"/>
  <c r="D127" i="11"/>
  <c r="E127" i="11" s="1"/>
  <c r="D126" i="11"/>
  <c r="E126" i="11" s="1"/>
  <c r="D130" i="7"/>
  <c r="E130" i="7" s="1"/>
  <c r="D125" i="7"/>
  <c r="E125" i="7" s="1"/>
  <c r="D129" i="7"/>
  <c r="E129" i="7" s="1"/>
  <c r="D128" i="7"/>
  <c r="E128" i="7" s="1"/>
  <c r="D126" i="7"/>
  <c r="E126" i="7" s="1"/>
  <c r="D130" i="12"/>
  <c r="E130" i="12" s="1"/>
  <c r="D129" i="14"/>
  <c r="E129" i="14" s="1"/>
  <c r="D125" i="14"/>
  <c r="E125" i="14" s="1"/>
  <c r="D128" i="14"/>
  <c r="E128" i="14" s="1"/>
  <c r="D127" i="14"/>
  <c r="E127" i="14" s="1"/>
  <c r="D126" i="14"/>
  <c r="E126" i="14" s="1"/>
  <c r="D125" i="12"/>
  <c r="E125" i="12" s="1"/>
  <c r="D129" i="12"/>
  <c r="E129" i="12" s="1"/>
  <c r="D128" i="12"/>
  <c r="E128" i="12" s="1"/>
  <c r="D127" i="12"/>
  <c r="E127" i="12" s="1"/>
  <c r="D125" i="17"/>
  <c r="E125" i="17" s="1"/>
  <c r="D127" i="17"/>
  <c r="E127" i="17" s="1"/>
  <c r="D126" i="17"/>
  <c r="E126" i="17" s="1"/>
  <c r="D129" i="17"/>
  <c r="E129" i="17" s="1"/>
  <c r="D128" i="17"/>
  <c r="E128" i="17" s="1"/>
  <c r="D125" i="16"/>
  <c r="E125" i="16" s="1"/>
  <c r="D129" i="16"/>
  <c r="E129" i="16" s="1"/>
  <c r="D128" i="16"/>
  <c r="E128" i="16" s="1"/>
  <c r="D127" i="16"/>
  <c r="E127" i="16" s="1"/>
  <c r="D126" i="16"/>
  <c r="E126" i="16" s="1"/>
  <c r="E130" i="1" l="1"/>
  <c r="E129" i="1"/>
  <c r="E128" i="1"/>
  <c r="E126" i="1"/>
  <c r="E125" i="1"/>
  <c r="I124" i="18" a="1"/>
  <c r="I124" i="18" s="1"/>
  <c r="C103" i="18"/>
  <c r="C101" i="18"/>
  <c r="E101" i="18" s="1"/>
  <c r="C102" i="18"/>
  <c r="I108" i="18"/>
  <c r="I107" i="18"/>
  <c r="I106" i="18"/>
  <c r="I105" i="18"/>
  <c r="I104" i="18"/>
  <c r="I103" i="18"/>
  <c r="I102" i="18"/>
  <c r="I101" i="18"/>
  <c r="F90" i="18"/>
  <c r="C90" i="18"/>
  <c r="E90" i="18" s="1"/>
  <c r="L89" i="18"/>
  <c r="K89" i="18"/>
  <c r="J89" i="18"/>
  <c r="I89" i="18"/>
  <c r="H89" i="18"/>
  <c r="C86" i="18"/>
  <c r="H86" i="18" s="1"/>
  <c r="B140" i="18"/>
  <c r="B139" i="18"/>
  <c r="B138" i="18"/>
  <c r="B137" i="18"/>
  <c r="B136" i="18"/>
  <c r="C135" i="18"/>
  <c r="C134" i="18"/>
  <c r="C133" i="18"/>
  <c r="B133" i="18"/>
  <c r="F89" i="18"/>
  <c r="C85" i="18"/>
  <c r="C84" i="18"/>
  <c r="C83" i="18"/>
  <c r="K128" i="18" a="1"/>
  <c r="H124" i="18" a="1"/>
  <c r="H128" i="18" a="1"/>
  <c r="K124" i="18" a="1"/>
  <c r="H125" i="18" a="1"/>
  <c r="K126" i="18" a="1"/>
  <c r="K127" i="18" a="1"/>
  <c r="J126" i="18" a="1"/>
  <c r="J125" i="18" a="1"/>
  <c r="J124" i="18" a="1"/>
  <c r="J128" i="18" a="1"/>
  <c r="C117" i="18" a="1"/>
  <c r="C98" i="18" a="1"/>
  <c r="J127" i="18" a="1"/>
  <c r="H127" i="18" a="1"/>
  <c r="D117" i="18" a="1"/>
  <c r="H126" i="18" a="1"/>
  <c r="K125" i="18" a="1"/>
  <c r="E102" i="18" l="1"/>
  <c r="D117" i="18"/>
  <c r="C88" i="18"/>
  <c r="D6" i="20" s="1"/>
  <c r="C94" i="18"/>
  <c r="C95" i="18"/>
  <c r="C96" i="18"/>
  <c r="E103" i="18"/>
  <c r="C97" i="18"/>
  <c r="C93" i="18"/>
  <c r="L90" i="18"/>
  <c r="C87" i="18"/>
  <c r="C98" i="18"/>
  <c r="H90" i="18"/>
  <c r="I90" i="18"/>
  <c r="J90" i="18"/>
  <c r="K90" i="18"/>
  <c r="C89" i="18"/>
  <c r="E89" i="18" s="1"/>
  <c r="F86" i="18"/>
  <c r="K124" i="18"/>
  <c r="K128" i="18"/>
  <c r="K127" i="18"/>
  <c r="K126" i="18"/>
  <c r="K125" i="18"/>
  <c r="J128" i="18"/>
  <c r="J127" i="18"/>
  <c r="J125" i="18"/>
  <c r="J124" i="18"/>
  <c r="J126" i="18"/>
  <c r="H124" i="18"/>
  <c r="H125" i="18"/>
  <c r="H128" i="18"/>
  <c r="H127" i="18"/>
  <c r="H126" i="18"/>
  <c r="C117" i="18"/>
  <c r="C118" i="18" s="1"/>
  <c r="C81" i="18"/>
  <c r="B135" i="18" s="1"/>
  <c r="G118" i="18" a="1"/>
  <c r="D118" i="18" a="1"/>
  <c r="D95" i="18" l="1"/>
  <c r="F87" i="18"/>
  <c r="G118" i="18"/>
  <c r="D118" i="18"/>
  <c r="Q2" i="20" s="1"/>
  <c r="D81" i="18"/>
  <c r="D93" i="18"/>
  <c r="D94" i="18"/>
  <c r="C82" i="18"/>
  <c r="B134" i="18"/>
  <c r="L127" i="18"/>
  <c r="L126" i="18"/>
  <c r="L128" i="18"/>
  <c r="L125" i="18"/>
  <c r="L124" i="18"/>
  <c r="C122" i="18"/>
  <c r="C120" i="18"/>
  <c r="C121" i="18"/>
  <c r="C119" i="18"/>
  <c r="D97" i="18"/>
  <c r="V8" i="20" s="1"/>
  <c r="D96" i="18"/>
  <c r="V7" i="20" s="1"/>
  <c r="D120" i="18" a="1"/>
  <c r="D122" i="18" a="1"/>
  <c r="G122" i="18" a="1"/>
  <c r="D119" i="18" a="1"/>
  <c r="G120" i="18" a="1"/>
  <c r="D121" i="18" a="1"/>
  <c r="G121" i="18" a="1"/>
  <c r="G119" i="18" a="1"/>
  <c r="V4" i="20" l="1"/>
  <c r="V5" i="20"/>
  <c r="V6" i="20"/>
  <c r="G119" i="18"/>
  <c r="H119" i="18" s="1"/>
  <c r="D119" i="18"/>
  <c r="Q3" i="20" s="1"/>
  <c r="G121" i="18"/>
  <c r="H121" i="18" s="1"/>
  <c r="D121" i="18"/>
  <c r="Q5" i="20" s="1"/>
  <c r="G122" i="18"/>
  <c r="H122" i="18" s="1"/>
  <c r="D122" i="18"/>
  <c r="Q6" i="20" s="1"/>
  <c r="G120" i="18"/>
  <c r="H120" i="18" s="1"/>
  <c r="D120" i="18"/>
  <c r="Q4" i="20" s="1"/>
  <c r="M124" i="18"/>
  <c r="D125" i="18" s="1"/>
  <c r="N126" i="18"/>
  <c r="N127" i="18"/>
  <c r="N128" i="18"/>
  <c r="C129" i="18"/>
  <c r="C130" i="18"/>
  <c r="C127" i="18"/>
  <c r="C128" i="18"/>
  <c r="C125" i="18"/>
  <c r="C126" i="18"/>
  <c r="H118" i="18"/>
  <c r="F118" i="18"/>
  <c r="Q7" i="20" s="1"/>
  <c r="L2" i="20" l="1" a="1"/>
  <c r="L2" i="20" s="1"/>
  <c r="Q12" i="20"/>
  <c r="F119" i="18"/>
  <c r="Q8" i="20" s="1"/>
  <c r="F122" i="18"/>
  <c r="Q11" i="20" s="1"/>
  <c r="F121" i="18"/>
  <c r="Q10" i="20" s="1"/>
  <c r="F120" i="18"/>
  <c r="Q9" i="20" s="1"/>
  <c r="E125" i="18"/>
  <c r="L8" i="20" s="1"/>
  <c r="E120" i="18"/>
  <c r="E118" i="18"/>
  <c r="E121" i="18"/>
  <c r="E122" i="18"/>
  <c r="E119" i="18"/>
  <c r="D129" i="18"/>
  <c r="L6" i="20" s="1" a="1"/>
  <c r="L6" i="20" s="1"/>
  <c r="D130" i="18"/>
  <c r="L7" i="20" s="1"/>
  <c r="D127" i="18"/>
  <c r="L4" i="20" s="1" a="1"/>
  <c r="L4" i="20" s="1"/>
  <c r="D128" i="18"/>
  <c r="L5" i="20" s="1" a="1"/>
  <c r="L5" i="20" s="1"/>
  <c r="D126" i="18"/>
  <c r="L3" i="20" s="1" a="1"/>
  <c r="L3" i="20" s="1"/>
  <c r="E130" i="18" l="1"/>
  <c r="L13" i="20" s="1"/>
  <c r="E129" i="18"/>
  <c r="L12" i="20" s="1"/>
  <c r="E128" i="18"/>
  <c r="L11" i="20" s="1"/>
  <c r="E127" i="18"/>
  <c r="L10" i="20" s="1"/>
  <c r="E126" i="18"/>
  <c r="L9" i="20" s="1"/>
  <c r="I125" i="17"/>
  <c r="I125" i="13"/>
  <c r="I125" i="12"/>
  <c r="I125" i="9"/>
  <c r="I125" i="8"/>
  <c r="I125" i="7"/>
  <c r="I125" i="5"/>
  <c r="I125" i="4"/>
  <c r="I125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<sst xmlns="http://schemas.openxmlformats.org/spreadsheetml/2006/main" count="3942" uniqueCount="182">
  <si>
    <t>标准杆</t>
  </si>
  <si>
    <t>杆</t>
  </si>
  <si>
    <t>成绩</t>
  </si>
  <si>
    <t>挥杆&amp;切杆</t>
  </si>
  <si>
    <t>推杆</t>
  </si>
  <si>
    <t>第一杆</t>
  </si>
  <si>
    <t>第一推</t>
  </si>
  <si>
    <t>距离：</t>
  </si>
  <si>
    <t>yd</t>
  </si>
  <si>
    <t>ft</t>
  </si>
  <si>
    <t>方向：</t>
  </si>
  <si>
    <t>第二推</t>
  </si>
  <si>
    <t>球位</t>
  </si>
  <si>
    <t>是否直攻</t>
  </si>
  <si>
    <t>第三推</t>
  </si>
  <si>
    <t>罚杆</t>
  </si>
  <si>
    <t>第二杆</t>
  </si>
  <si>
    <t>第四推</t>
  </si>
  <si>
    <t>第五推</t>
  </si>
  <si>
    <t>第六推</t>
  </si>
  <si>
    <t>第三杆</t>
  </si>
  <si>
    <t>第七推</t>
  </si>
  <si>
    <t>第8推</t>
  </si>
  <si>
    <t>额外罚杆</t>
  </si>
  <si>
    <t>第四杆</t>
  </si>
  <si>
    <t>第五杆</t>
  </si>
  <si>
    <t>第六杆</t>
  </si>
  <si>
    <t>第七杆</t>
  </si>
  <si>
    <t>第八杆</t>
  </si>
  <si>
    <t>第九杆</t>
  </si>
  <si>
    <t>第十杆</t>
  </si>
  <si>
    <t>总罚杆</t>
    <phoneticPr fontId="2" type="noConversion"/>
  </si>
  <si>
    <t>总推杆</t>
    <phoneticPr fontId="2" type="noConversion"/>
  </si>
  <si>
    <t>总挥切杆</t>
    <phoneticPr fontId="2" type="noConversion"/>
  </si>
  <si>
    <t>标On</t>
    <phoneticPr fontId="2" type="noConversion"/>
  </si>
  <si>
    <t>切杆</t>
    <phoneticPr fontId="2" type="noConversion"/>
  </si>
  <si>
    <t>推杆</t>
    <phoneticPr fontId="2" type="noConversion"/>
  </si>
  <si>
    <t>一切一推</t>
    <phoneticPr fontId="2" type="noConversion"/>
  </si>
  <si>
    <t>总成绩</t>
    <phoneticPr fontId="2" type="noConversion"/>
  </si>
  <si>
    <t>开球距离</t>
    <phoneticPr fontId="2" type="noConversion"/>
  </si>
  <si>
    <t>上球道</t>
    <phoneticPr fontId="2" type="noConversion"/>
  </si>
  <si>
    <t>0-3</t>
    <phoneticPr fontId="2" type="noConversion"/>
  </si>
  <si>
    <t>3-9</t>
    <phoneticPr fontId="2" type="noConversion"/>
  </si>
  <si>
    <t>9-15</t>
    <phoneticPr fontId="2" type="noConversion"/>
  </si>
  <si>
    <t>15-30</t>
    <phoneticPr fontId="2" type="noConversion"/>
  </si>
  <si>
    <t>30以上</t>
    <phoneticPr fontId="2" type="noConversion"/>
  </si>
  <si>
    <t>一推</t>
    <phoneticPr fontId="2" type="noConversion"/>
  </si>
  <si>
    <t>三推</t>
    <phoneticPr fontId="2" type="noConversion"/>
  </si>
  <si>
    <t>救球</t>
    <phoneticPr fontId="2" type="noConversion"/>
  </si>
  <si>
    <t>1有切杆</t>
    <phoneticPr fontId="2" type="noConversion"/>
  </si>
  <si>
    <t>2par</t>
    <phoneticPr fontId="2" type="noConversion"/>
  </si>
  <si>
    <t>3不标on</t>
    <phoneticPr fontId="2" type="noConversion"/>
  </si>
  <si>
    <t>最后切杆距离</t>
    <phoneticPr fontId="2" type="noConversion"/>
  </si>
  <si>
    <t>50-75</t>
    <phoneticPr fontId="2" type="noConversion"/>
  </si>
  <si>
    <t>75-100</t>
    <phoneticPr fontId="2" type="noConversion"/>
  </si>
  <si>
    <t>100-125</t>
    <phoneticPr fontId="2" type="noConversion"/>
  </si>
  <si>
    <t>125-150</t>
    <phoneticPr fontId="2" type="noConversion"/>
  </si>
  <si>
    <t>上果岭</t>
    <phoneticPr fontId="2" type="noConversion"/>
  </si>
  <si>
    <t>150-200</t>
    <phoneticPr fontId="2" type="noConversion"/>
  </si>
  <si>
    <t>200以上</t>
    <phoneticPr fontId="2" type="noConversion"/>
  </si>
  <si>
    <t>都是直攻</t>
    <phoneticPr fontId="2" type="noConversion"/>
  </si>
  <si>
    <t>总切杆</t>
    <phoneticPr fontId="2" type="noConversion"/>
  </si>
  <si>
    <t>推杆距离</t>
    <phoneticPr fontId="2" type="noConversion"/>
  </si>
  <si>
    <t>0-10</t>
    <phoneticPr fontId="2" type="noConversion"/>
  </si>
  <si>
    <t>30-40</t>
    <phoneticPr fontId="2" type="noConversion"/>
  </si>
  <si>
    <t>40-50</t>
    <phoneticPr fontId="2" type="noConversion"/>
  </si>
  <si>
    <t>20-30</t>
    <phoneticPr fontId="2" type="noConversion"/>
  </si>
  <si>
    <t>10-20</t>
    <phoneticPr fontId="2" type="noConversion"/>
  </si>
  <si>
    <t>切杆距离</t>
    <phoneticPr fontId="2" type="noConversion"/>
  </si>
  <si>
    <t>沙坑</t>
    <phoneticPr fontId="2" type="noConversion"/>
  </si>
  <si>
    <t>铁杆</t>
    <phoneticPr fontId="2" type="noConversion"/>
  </si>
  <si>
    <t>直攻</t>
    <phoneticPr fontId="2" type="noConversion"/>
  </si>
  <si>
    <t>距离</t>
    <phoneticPr fontId="2" type="noConversion"/>
  </si>
  <si>
    <t>第一攻</t>
    <phoneticPr fontId="2" type="noConversion"/>
  </si>
  <si>
    <t>第二攻</t>
    <phoneticPr fontId="2" type="noConversion"/>
  </si>
  <si>
    <t>第三攻</t>
    <phoneticPr fontId="2" type="noConversion"/>
  </si>
  <si>
    <t>第四攻</t>
    <phoneticPr fontId="2" type="noConversion"/>
  </si>
  <si>
    <t>第五攻</t>
    <phoneticPr fontId="2" type="noConversion"/>
  </si>
  <si>
    <t>球杆</t>
    <phoneticPr fontId="2" type="noConversion"/>
  </si>
  <si>
    <t>铁杆距离</t>
    <phoneticPr fontId="2" type="noConversion"/>
  </si>
  <si>
    <t>总数</t>
    <phoneticPr fontId="2" type="noConversion"/>
  </si>
  <si>
    <t>准确度(ft）</t>
    <phoneticPr fontId="2" type="noConversion"/>
  </si>
  <si>
    <t>成绩</t>
    <phoneticPr fontId="2" type="noConversion"/>
  </si>
  <si>
    <t>罚杆</t>
    <phoneticPr fontId="2" type="noConversion"/>
  </si>
  <si>
    <t>标杆上果岭率</t>
    <phoneticPr fontId="2" type="noConversion"/>
  </si>
  <si>
    <t>一切一推率</t>
    <phoneticPr fontId="2" type="noConversion"/>
  </si>
  <si>
    <t>标上平均推杆</t>
    <phoneticPr fontId="2" type="noConversion"/>
  </si>
  <si>
    <t>标On推杆</t>
    <phoneticPr fontId="2" type="noConversion"/>
  </si>
  <si>
    <t>平均开球距离</t>
    <phoneticPr fontId="2" type="noConversion"/>
  </si>
  <si>
    <t>最远开球距离</t>
    <phoneticPr fontId="2" type="noConversion"/>
  </si>
  <si>
    <t>开球上球道率</t>
    <phoneticPr fontId="2" type="noConversion"/>
  </si>
  <si>
    <t>3杆洞成绩</t>
    <phoneticPr fontId="2" type="noConversion"/>
  </si>
  <si>
    <t>4杆洞成绩</t>
    <phoneticPr fontId="2" type="noConversion"/>
  </si>
  <si>
    <t>5杆洞成绩</t>
    <phoneticPr fontId="2" type="noConversion"/>
  </si>
  <si>
    <t>三杆洞平均成绩</t>
    <phoneticPr fontId="2" type="noConversion"/>
  </si>
  <si>
    <t>四杆洞平均成绩</t>
    <phoneticPr fontId="2" type="noConversion"/>
  </si>
  <si>
    <t>五杆洞平均成绩</t>
    <phoneticPr fontId="2" type="noConversion"/>
  </si>
  <si>
    <t>Birdies</t>
    <phoneticPr fontId="2" type="noConversion"/>
  </si>
  <si>
    <t>Par</t>
    <phoneticPr fontId="2" type="noConversion"/>
  </si>
  <si>
    <t>Bogey</t>
    <phoneticPr fontId="2" type="noConversion"/>
  </si>
  <si>
    <t>Eagle</t>
    <phoneticPr fontId="2" type="noConversion"/>
  </si>
  <si>
    <t>Double Bogey</t>
    <phoneticPr fontId="2" type="noConversion"/>
  </si>
  <si>
    <t>一推率</t>
    <phoneticPr fontId="2" type="noConversion"/>
  </si>
  <si>
    <t>三推数</t>
    <phoneticPr fontId="2" type="noConversion"/>
  </si>
  <si>
    <t>0-10yd救球成功率</t>
    <phoneticPr fontId="2" type="noConversion"/>
  </si>
  <si>
    <t>10-20yd救球成功率</t>
    <phoneticPr fontId="2" type="noConversion"/>
  </si>
  <si>
    <t>20-30yd救球成功率</t>
    <phoneticPr fontId="2" type="noConversion"/>
  </si>
  <si>
    <t>30-40yd救球成功率</t>
    <phoneticPr fontId="2" type="noConversion"/>
  </si>
  <si>
    <t>40-50yd救球成功率</t>
    <phoneticPr fontId="2" type="noConversion"/>
  </si>
  <si>
    <t>0-10yd平均剩余</t>
  </si>
  <si>
    <t>10-20yd平均剩余</t>
  </si>
  <si>
    <t>20-30yd平均剩余</t>
  </si>
  <si>
    <t>30-40yd平均剩余</t>
  </si>
  <si>
    <t>40-50yd平均剩余</t>
  </si>
  <si>
    <t>沙坑救球平均剩余</t>
    <phoneticPr fontId="2" type="noConversion"/>
  </si>
  <si>
    <t>50-75上果岭率</t>
  </si>
  <si>
    <t>75-100上果岭率</t>
  </si>
  <si>
    <t>100-125上果岭率</t>
  </si>
  <si>
    <t>125-150上果岭率</t>
  </si>
  <si>
    <t>150-200上果岭率</t>
  </si>
  <si>
    <t>200以上上果岭率</t>
  </si>
  <si>
    <t>50-75精准度</t>
  </si>
  <si>
    <t>75-100精准度</t>
  </si>
  <si>
    <t>100-125精准度</t>
  </si>
  <si>
    <t>125-150精准度</t>
  </si>
  <si>
    <t>150-200精准度</t>
  </si>
  <si>
    <t>200以上精准度</t>
  </si>
  <si>
    <t>ft</t>
    <phoneticPr fontId="2" type="noConversion"/>
  </si>
  <si>
    <t>长草</t>
    <phoneticPr fontId="2" type="noConversion"/>
  </si>
  <si>
    <t>直球</t>
    <phoneticPr fontId="2" type="noConversion"/>
  </si>
  <si>
    <t>偏左</t>
    <phoneticPr fontId="2" type="noConversion"/>
  </si>
  <si>
    <t>偏右</t>
    <phoneticPr fontId="2" type="noConversion"/>
  </si>
  <si>
    <t>开球</t>
    <phoneticPr fontId="2" type="noConversion"/>
  </si>
  <si>
    <t>开球长草</t>
    <phoneticPr fontId="2" type="noConversion"/>
  </si>
  <si>
    <t>开球沙坑</t>
    <phoneticPr fontId="2" type="noConversion"/>
  </si>
  <si>
    <t>开球直球</t>
    <phoneticPr fontId="2" type="noConversion"/>
  </si>
  <si>
    <t>开球偏左</t>
    <phoneticPr fontId="2" type="noConversion"/>
  </si>
  <si>
    <t>开球偏右</t>
    <phoneticPr fontId="2" type="noConversion"/>
  </si>
  <si>
    <t>开球球道</t>
    <phoneticPr fontId="2" type="noConversion"/>
  </si>
  <si>
    <t>1推</t>
    <phoneticPr fontId="2" type="noConversion"/>
  </si>
  <si>
    <t>2推</t>
    <phoneticPr fontId="2" type="noConversion"/>
  </si>
  <si>
    <t>3推</t>
    <phoneticPr fontId="2" type="noConversion"/>
  </si>
  <si>
    <t>4推</t>
    <phoneticPr fontId="2" type="noConversion"/>
  </si>
  <si>
    <t>5推</t>
    <phoneticPr fontId="2" type="noConversion"/>
  </si>
  <si>
    <t>6推</t>
    <phoneticPr fontId="2" type="noConversion"/>
  </si>
  <si>
    <t>7推</t>
    <phoneticPr fontId="2" type="noConversion"/>
  </si>
  <si>
    <t>8推</t>
    <phoneticPr fontId="2" type="noConversion"/>
  </si>
  <si>
    <t>是否三推</t>
    <phoneticPr fontId="2" type="noConversion"/>
  </si>
  <si>
    <t>0-3推进概率</t>
  </si>
  <si>
    <t>3-9推进概率</t>
  </si>
  <si>
    <t>9-15推进概率</t>
  </si>
  <si>
    <t>15-30推进概率</t>
  </si>
  <si>
    <t>30以上推进概率</t>
  </si>
  <si>
    <t>9-15三推概率</t>
    <phoneticPr fontId="2" type="noConversion"/>
  </si>
  <si>
    <t>15-30三推概率</t>
    <phoneticPr fontId="2" type="noConversion"/>
  </si>
  <si>
    <t>30以上三推概率</t>
    <phoneticPr fontId="2" type="noConversion"/>
  </si>
  <si>
    <t>剩余距离</t>
    <phoneticPr fontId="2" type="noConversion"/>
  </si>
  <si>
    <t>成绩核对</t>
    <phoneticPr fontId="2" type="noConversion"/>
  </si>
  <si>
    <t>PAR or less</t>
    <phoneticPr fontId="2" type="noConversion"/>
  </si>
  <si>
    <t>标记</t>
    <phoneticPr fontId="2" type="noConversion"/>
  </si>
  <si>
    <t>是否上果岭</t>
    <phoneticPr fontId="2" type="noConversion"/>
  </si>
  <si>
    <t>是否直攻</t>
    <phoneticPr fontId="2" type="noConversion"/>
  </si>
  <si>
    <t>距洞口距离</t>
    <phoneticPr fontId="2" type="noConversion"/>
  </si>
  <si>
    <t>是否沙坑</t>
    <phoneticPr fontId="2" type="noConversion"/>
  </si>
  <si>
    <t>救球条件</t>
    <phoneticPr fontId="2" type="noConversion"/>
  </si>
  <si>
    <t>是否救球</t>
    <phoneticPr fontId="2" type="noConversion"/>
  </si>
  <si>
    <t>1号木标志</t>
    <phoneticPr fontId="2" type="noConversion"/>
  </si>
  <si>
    <t>是否推进</t>
    <phoneticPr fontId="2" type="noConversion"/>
  </si>
  <si>
    <t>概况</t>
    <phoneticPr fontId="2" type="noConversion"/>
  </si>
  <si>
    <t>1号木</t>
  </si>
  <si>
    <t>偏右</t>
  </si>
  <si>
    <t>球道</t>
  </si>
  <si>
    <t>过渡</t>
  </si>
  <si>
    <t>7铁</t>
  </si>
  <si>
    <t>直攻</t>
  </si>
  <si>
    <t>56度</t>
  </si>
  <si>
    <t>长草</t>
  </si>
  <si>
    <t>沙坑</t>
  </si>
  <si>
    <t>球道木</t>
  </si>
  <si>
    <t>直球</t>
  </si>
  <si>
    <t>偏左</t>
  </si>
  <si>
    <t>P杆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</si>
</sst>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76" formatCode="_ * #,##0_ ;_ * \-#,##0_ ;_ * &quot;-&quot;??_ ;_ @_ "/>
  </numFmts>
  <fonts count="10">
    <font>
      <sz val="12"/>
      <color theme="1"/>
      <name val="等线"/>
      <charset val="134"/>
      <scheme val="minor"/>
    </font>
    <font>
      <sz val="10"/>
      <name val="等线"/>
      <family val="3"/>
      <charset val="134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0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4EDDB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 applyBorder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58" fontId="4" fillId="0" borderId="0" xfId="0" quotePrefix="1" applyNumberFormat="1" applyFont="1">
      <alignment vertical="center"/>
    </xf>
    <xf numFmtId="0" fontId="4" fillId="0" borderId="0" xfId="0" quotePrefix="1" applyFont="1">
      <alignment vertical="center"/>
    </xf>
    <xf numFmtId="10" fontId="0" fillId="0" borderId="0" xfId="2" applyNumberFormat="1" applyFont="1">
      <alignment vertical="center"/>
    </xf>
    <xf numFmtId="176" fontId="1" fillId="2" borderId="6" xfId="1" applyNumberFormat="1" applyFont="1" applyFill="1" applyBorder="1" applyAlignment="1">
      <alignment horizontal="center" vertical="center"/>
    </xf>
    <xf numFmtId="176" fontId="1" fillId="0" borderId="2" xfId="1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7" fillId="0" borderId="2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7" fillId="0" borderId="5" xfId="0" applyFont="1" applyBorder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0" borderId="7" xfId="0" applyFont="1" applyBorder="1">
      <alignment vertical="center"/>
    </xf>
    <xf numFmtId="176" fontId="5" fillId="2" borderId="6" xfId="1" applyNumberFormat="1" applyFont="1" applyFill="1" applyBorder="1" applyAlignment="1">
      <alignment horizontal="center" vertical="center"/>
    </xf>
    <xf numFmtId="0" fontId="5" fillId="0" borderId="2" xfId="0" applyFont="1" applyBorder="1">
      <alignment vertical="center"/>
    </xf>
    <xf numFmtId="176" fontId="5" fillId="0" borderId="2" xfId="1" applyNumberFormat="1" applyFont="1" applyBorder="1" applyAlignment="1">
      <alignment horizontal="center" vertical="center"/>
    </xf>
    <xf numFmtId="176" fontId="5" fillId="0" borderId="6" xfId="1" applyNumberFormat="1" applyFont="1" applyBorder="1" applyAlignment="1">
      <alignment horizontal="center" vertical="center"/>
    </xf>
    <xf numFmtId="176" fontId="5" fillId="2" borderId="9" xfId="1" applyNumberFormat="1" applyFont="1" applyFill="1" applyBorder="1" applyAlignment="1">
      <alignment horizontal="center" vertical="center"/>
    </xf>
    <xf numFmtId="0" fontId="5" fillId="0" borderId="10" xfId="0" applyFont="1" applyBorder="1">
      <alignment vertical="center"/>
    </xf>
    <xf numFmtId="176" fontId="6" fillId="0" borderId="0" xfId="0" applyNumberFormat="1" applyFont="1">
      <alignment vertical="center"/>
    </xf>
    <xf numFmtId="0" fontId="7" fillId="0" borderId="1" xfId="0" applyFont="1" applyBorder="1">
      <alignment vertical="center"/>
    </xf>
    <xf numFmtId="0" fontId="8" fillId="0" borderId="0" xfId="0" applyFont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Border="1" applyAlignment="1">
      <alignment horizontal="center" vertical="center"/>
    </xf>
    <xf numFmtId="0" fontId="8" fillId="0" borderId="0" xfId="0" applyFont="1" applyBorder="1">
      <alignment vertical="center"/>
    </xf>
    <xf numFmtId="0" fontId="5" fillId="0" borderId="0" xfId="0" applyFont="1" applyBorder="1" applyAlignment="1">
      <alignment horizontal="right" vertical="center"/>
    </xf>
    <xf numFmtId="58" fontId="8" fillId="0" borderId="0" xfId="0" quotePrefix="1" applyNumberFormat="1" applyFont="1" applyBorder="1">
      <alignment vertical="center"/>
    </xf>
    <xf numFmtId="0" fontId="8" fillId="0" borderId="0" xfId="0" quotePrefix="1" applyFont="1" applyBorder="1">
      <alignment vertical="center"/>
    </xf>
    <xf numFmtId="176" fontId="8" fillId="0" borderId="0" xfId="0" applyNumberFormat="1" applyFont="1" applyBorder="1">
      <alignment vertical="center"/>
    </xf>
    <xf numFmtId="58" fontId="5" fillId="0" borderId="0" xfId="0" quotePrefix="1" applyNumberFormat="1" applyFont="1" applyBorder="1">
      <alignment vertical="center"/>
    </xf>
    <xf numFmtId="0" fontId="5" fillId="0" borderId="0" xfId="0" quotePrefix="1" applyFont="1" applyBorder="1">
      <alignment vertical="center"/>
    </xf>
    <xf numFmtId="0" fontId="6" fillId="0" borderId="0" xfId="0" applyFont="1" applyBorder="1">
      <alignment vertical="center"/>
    </xf>
    <xf numFmtId="0" fontId="6" fillId="0" borderId="0" xfId="0" quotePrefix="1" applyFont="1">
      <alignment vertical="center"/>
    </xf>
    <xf numFmtId="0" fontId="9" fillId="0" borderId="0" xfId="0" applyFont="1">
      <alignment vertical="center"/>
    </xf>
    <xf numFmtId="10" fontId="6" fillId="0" borderId="0" xfId="2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43" fontId="6" fillId="0" borderId="0" xfId="1" applyFont="1" applyAlignment="1">
      <alignment horizontal="right" vertical="center"/>
    </xf>
    <xf numFmtId="2" fontId="6" fillId="0" borderId="0" xfId="0" applyNumberFormat="1" applyFont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5" fillId="2" borderId="3" xfId="0" applyFont="1" applyFill="1" applyBorder="1" applyAlignment="1">
      <alignment horizontal="center" vertical="center"/>
    </xf>
  </cellXfs>
  <cellStyles count="3">
    <cellStyle name="百分比" xfId="2" builtinId="5"/>
    <cellStyle name="常规" xfId="0" builtinId="0"/>
    <cellStyle name="千位分隔" xfId="1" builtinId="3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www.wps.cn/officeDocument/2023/relationships/customStorage" Target="customStorage/customStorag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19"/>
  <sheetViews>
    <sheetView tabSelected="1" workbookViewId="0">
      <selection activeCell="C2" sqref="C2"/>
    </sheetView>
  </sheetViews>
  <sheetFormatPr defaultColWidth="8.75" defaultRowHeight="18"/>
  <cols>
    <col min="1" max="1" width="1.5" style="9" customWidth="1"/>
    <col min="2" max="2" width="4.875" style="41" bestFit="1" customWidth="1"/>
    <col min="3" max="3" width="14.375" style="9" bestFit="1" customWidth="1"/>
    <col min="4" max="4" width="8.25" style="9" bestFit="1" customWidth="1"/>
    <col min="5" max="5" width="0.75" style="9" customWidth="1"/>
    <col min="6" max="6" width="4.875" style="9" bestFit="1" customWidth="1"/>
    <col min="7" max="7" width="8.5" style="9" bestFit="1" customWidth="1"/>
    <col min="8" max="8" width="7.75" style="9" bestFit="1" customWidth="1"/>
    <col min="9" max="9" width="0.625" style="9" customWidth="1"/>
    <col min="10" max="10" width="4.875" style="9" bestFit="1" customWidth="1"/>
    <col min="11" max="11" width="16.375" style="9" bestFit="1" customWidth="1"/>
    <col min="12" max="12" width="8.875" style="9" bestFit="1" customWidth="1"/>
    <col min="13" max="13" width="2.5" style="9" customWidth="1"/>
    <col min="14" max="14" width="0.875" style="9" customWidth="1"/>
    <col min="15" max="15" width="4.875" style="9" bestFit="1" customWidth="1"/>
    <col min="16" max="16" width="18.375" style="9" bestFit="1" customWidth="1"/>
    <col min="17" max="17" width="8.875" style="9" bestFit="1" customWidth="1"/>
    <col min="18" max="18" width="2.5" style="9" bestFit="1" customWidth="1"/>
    <col min="19" max="19" width="1.25" style="9" customWidth="1"/>
    <col min="20" max="20" width="4.875" style="9" bestFit="1" customWidth="1"/>
    <col min="21" max="21" width="14.75" style="9" bestFit="1" customWidth="1"/>
    <col min="22" max="22" width="8.875" style="9" bestFit="1" customWidth="1"/>
    <col min="23" max="16384" width="8.75" style="9"/>
  </cols>
  <sheetData>
    <row r="2" spans="2:22">
      <c r="B2" s="41" t="s">
        <v>168</v>
      </c>
      <c r="C2" s="9" t="s">
        <v>82</v>
      </c>
      <c r="D2" s="43">
        <f>SUM('1号洞'!C81,'2号洞'!C81,'3号洞'!C81,'4号洞'!C81,'5号洞'!C81,'6号洞'!C81,'7号洞'!C81,'8号洞'!C81,'9号洞'!C81,'10号洞'!C81,'11号洞'!C81,'12号洞'!C81,'13号洞'!C81,'14号洞'!C81,'15号洞'!C81,'16号洞'!C81,'17号洞'!C81,'18号洞'!C81)</f>
        <v>81</v>
      </c>
      <c r="F2" s="41" t="s">
        <v>132</v>
      </c>
      <c r="G2" s="39" t="s">
        <v>138</v>
      </c>
      <c r="H2" s="42" cm="1">
        <f t="array" ref="H2">IFERROR(SUM('1号洞'!E90+0,'2号洞'!E90+0,'3号洞'!E90+0,'4号洞'!E90+0,'5号洞'!E90+0,'6号洞'!E90+0,'7号洞'!E90+0,'8号洞'!E90+0,'9号洞'!E90+0,'10号洞'!E90+0,'11号洞'!E90+0,'12号洞'!E90+0,'13号洞'!E90+0,'14号洞'!E90+0,'15号洞'!E90+0,'16号洞'!E90+0,'17号洞'!E90+0,'18号洞'!E90+0)/SUM('1号洞'!F90,'2号洞'!F90,'3号洞'!F90,'4号洞'!F90,'5号洞'!F90,'6号洞'!F90,'7号洞'!F90,'8号洞'!F90,'9号洞'!F90,'10号洞'!F90,'11号洞'!F90,'12号洞'!F90,'13号洞'!F90,'14号洞'!F90,'15号洞'!F90,'16号洞'!F90,'17号洞'!F90,'18号洞'!F90),“-”)</f>
        <v>0.9285714285714286</v>
      </c>
      <c r="J2" s="41" t="s">
        <v>70</v>
      </c>
      <c r="K2" s="9" t="s">
        <v>115</v>
      </c>
      <c r="L2" s="42" cm="1">
        <f t="array" aca="1" ref="L2" ca="1">IFERROR(SUM('1号洞'!D125,'2号洞'!D125,'3号洞'!D125,'4号洞'!D125,'5号洞'!D125,'6号洞'!D125,'7号洞'!D125,'8号洞'!D125,'9号洞'!D125,'10号洞'!D125,'11号洞'!D125,'12号洞'!D125,'13号洞'!D125,'14号洞'!D125,'15号洞'!D125,'16号洞'!D125,'17号洞'!D125,'18号洞'!D125)/SUM('1号洞'!C125,'2号洞'!C125,'3号洞'!C125,'4号洞'!C125,'5号洞'!C125,'6号洞'!C125,'7号洞'!C125,'8号洞'!C125,'9号洞'!C125,'10号洞'!C125,'11号洞'!C125,'12号洞'!C125,'13号洞'!C125,'14号洞'!C125,'15号洞'!C125,'16号洞'!C125,'17号洞'!C125,'18号洞'!C125),“-”)</f>
        <v>0.5</v>
      </c>
      <c r="O2" s="41" t="s">
        <v>35</v>
      </c>
      <c r="P2" s="9" t="s">
        <v>104</v>
      </c>
      <c r="Q2" s="42">
        <f ca="1">IFERROR(SUM('1号洞'!E118,'2号洞'!E118,'3号洞'!E118,'4号洞'!E118,'5号洞'!E118,'6号洞'!E118,'7号洞'!E118,'8号洞'!E118,'9号洞'!E118,'10号洞'!E118,'11号洞'!E118,'12号洞'!E118,'13号洞'!E118,'14号洞'!E118,'15号洞'!E118,'16号洞'!E118,'17号洞'!E118,'18号洞'!E118)/SUM('1号洞'!D118,'2号洞'!D118,'3号洞'!D118,'4号洞'!D118,'5号洞'!D118,'6号洞'!D118,'7号洞'!D118,'8号洞'!D118,'9号洞'!D118,'10号洞'!D118,'11号洞'!D118,'12号洞'!D118,'13号洞'!D118,'14号洞'!D118,'15号洞'!D118,'16号洞'!D118,'17号洞'!D118,'18号洞'!D118),"-")</f>
        <v>1</v>
      </c>
      <c r="T2" s="41" t="s">
        <v>36</v>
      </c>
      <c r="U2" s="9" t="s">
        <v>102</v>
      </c>
      <c r="V2" s="42">
        <f>SUM('1号洞'!F86,'2号洞'!F86,'3号洞'!F86,'4号洞'!F86,'5号洞'!F86,'6号洞'!F86,'7号洞'!F86,'8号洞'!F86,'9号洞'!F86,'10号洞'!F86,'11号洞'!F86,'12号洞'!F86,'13号洞'!F86,'14号洞'!F86,'15号洞'!F86,'16号洞'!F86,'17号洞'!F86,'18号洞'!F86)/18</f>
        <v>0.22222222222222221</v>
      </c>
    </row>
    <row r="3" spans="2:22">
      <c r="C3" s="9" t="s">
        <v>36</v>
      </c>
      <c r="D3" s="43">
        <f>SUM('1号洞'!C86,'2号洞'!C86,'3号洞'!C86,'4号洞'!C86,'5号洞'!C86,'6号洞'!C86,'7号洞'!C86,'8号洞'!C86,'9号洞'!C86,'10号洞'!C86,'11号洞'!C86,'12号洞'!C86,'13号洞'!C86,'14号洞'!C86,'15号洞'!C86,'16号洞'!C86,'17号洞'!C86,'18号洞'!C86)</f>
        <v>33</v>
      </c>
      <c r="F3" s="41"/>
      <c r="G3" s="39" t="s">
        <v>133</v>
      </c>
      <c r="H3" s="42" cm="1">
        <f t="array" ref="H3">IFERROR(SUM('1号洞'!H90,'2号洞'!H90,'3号洞'!H90,'4号洞'!H90,'5号洞'!H90,'6号洞'!H90,'7号洞'!H90,'8号洞'!H90,'9号洞'!H90,'10号洞'!H90,'11号洞'!H90,'12号洞'!H90,'13号洞'!H90,'14号洞'!H90,'15号洞'!H90,'16号洞'!H90,'17号洞'!H90,'18号洞'!H90)/SUM('1号洞'!F90,'2号洞'!F90,'3号洞'!F90,'4号洞'!F90,'5号洞'!F90,'6号洞'!F90,'7号洞'!F90,'8号洞'!F90,'9号洞'!F90,'10号洞'!F90,'11号洞'!F90,'12号洞'!F90,'13号洞'!F90,'14号洞'!F90,'15号洞'!F90,'16号洞'!F90,'17号洞'!F90,'18号洞'!F90),“-”)</f>
        <v>0</v>
      </c>
      <c r="J3" s="41"/>
      <c r="K3" s="9" t="s">
        <v>116</v>
      </c>
      <c r="L3" s="42" cm="1">
        <f t="array" aca="1" ref="L3" ca="1">IFERROR(SUM('1号洞'!D126,'2号洞'!D126,'3号洞'!D126,'4号洞'!D126,'5号洞'!D126,'6号洞'!D126,'7号洞'!D126,'8号洞'!D126,'9号洞'!D126,'10号洞'!D126,'11号洞'!D126,'12号洞'!D126,'13号洞'!D126,'14号洞'!D126,'15号洞'!D126,'16号洞'!D126,'17号洞'!D126,'18号洞'!D126)/SUM('1号洞'!C126,'2号洞'!C126,'3号洞'!C126,'4号洞'!C126,'5号洞'!C126,'6号洞'!C126,'7号洞'!C126,'8号洞'!C126,'9号洞'!C126,'10号洞'!C126,'11号洞'!C126,'12号洞'!C126,'13号洞'!C126,'14号洞'!C126,'15号洞'!C126,'16号洞'!C126,'17号洞'!C126,'18号洞'!C126),“-”)</f>
        <v>1</v>
      </c>
      <c r="O3" s="41"/>
      <c r="P3" s="9" t="s">
        <v>105</v>
      </c>
      <c r="Q3" s="42">
        <f ca="1">IFERROR(SUM('1号洞'!E119,'2号洞'!E119,'3号洞'!E119,'4号洞'!E119,'5号洞'!E119,'6号洞'!E119,'7号洞'!E119,'8号洞'!E119,'9号洞'!E119,'10号洞'!E119,'11号洞'!E119,'12号洞'!E119,'13号洞'!E119,'14号洞'!E119,'15号洞'!E119,'16号洞'!E119,'17号洞'!E119,'18号洞'!E119)/SUM('1号洞'!D119,'2号洞'!D119,'3号洞'!D119,'4号洞'!D119,'5号洞'!D119,'6号洞'!D119,'7号洞'!D119,'8号洞'!D119,'9号洞'!D119,'10号洞'!D119,'11号洞'!D119,'12号洞'!D119,'13号洞'!D119,'14号洞'!D119,'15号洞'!D119,'16号洞'!D119,'17号洞'!D119,'18号洞'!D119),"-")</f>
        <v>0</v>
      </c>
      <c r="T3" s="41"/>
      <c r="U3" s="9" t="s">
        <v>103</v>
      </c>
      <c r="V3" s="43">
        <f>SUM('1号洞'!H86,'2号洞'!H86,'3号洞'!H86,'4号洞'!H86,'5号洞'!H86,'6号洞'!H86,'7号洞'!H86,'8号洞'!H86,'9号洞'!H86,'10号洞'!H86,'11号洞'!H86,'12号洞'!H86,'13号洞'!H86,'14号洞'!H86,'15号洞'!H86,'16号洞'!H86,'17号洞'!H86,'18号洞'!H86)</f>
        <v>1</v>
      </c>
    </row>
    <row r="4" spans="2:22">
      <c r="C4" s="9" t="s">
        <v>83</v>
      </c>
      <c r="D4" s="43">
        <f>SUM('1号洞'!C83,'2号洞'!C83,'3号洞'!C83,'4号洞'!C83,'5号洞'!C83,'6号洞'!C83,'7号洞'!C83,'8号洞'!C83,'9号洞'!C83,'10号洞'!C83,'11号洞'!C83,'12号洞'!C83,'13号洞'!C83,'14号洞'!C83,'15号洞'!C83,'16号洞'!C83,'17号洞'!C83,'18号洞'!C83)</f>
        <v>0</v>
      </c>
      <c r="F4" s="41"/>
      <c r="G4" s="39" t="s">
        <v>134</v>
      </c>
      <c r="H4" s="42" cm="1">
        <f t="array" ref="H4">IFERROR(SUM('1号洞'!I90,'2号洞'!I90,'3号洞'!I90,'4号洞'!I90,'5号洞'!I90,'6号洞'!I90,'7号洞'!I90,'8号洞'!I90,'9号洞'!I90,'10号洞'!I90,'11号洞'!I90,'12号洞'!I90,'13号洞'!I90,'14号洞'!I90,'15号洞'!I90,'16号洞'!I90,'17号洞'!I90,'18号洞'!I90)/SUM('1号洞'!F90,'2号洞'!F90,'3号洞'!F90,'4号洞'!F90,'5号洞'!F90,'6号洞'!F90,'7号洞'!F90,'8号洞'!F90,'9号洞'!F90,'10号洞'!F90,'11号洞'!F90,'12号洞'!F90,'13号洞'!F90,'14号洞'!F90,'15号洞'!F90,'16号洞'!F90,'17号洞'!F90,'18号洞'!F90),“-”)</f>
        <v>7.1428571428571425E-2</v>
      </c>
      <c r="J4" s="41"/>
      <c r="K4" s="9" t="s">
        <v>117</v>
      </c>
      <c r="L4" s="42" cm="1">
        <f t="array" aca="1" ref="L4" ca="1">IFERROR(SUM('1号洞'!D127,'2号洞'!D127,'3号洞'!D127,'4号洞'!D127,'5号洞'!D127,'6号洞'!D127,'7号洞'!D127,'8号洞'!D127,'9号洞'!D127,'10号洞'!D127,'11号洞'!D127,'12号洞'!D127,'13号洞'!D127,'14号洞'!D127,'15号洞'!D127,'16号洞'!D127,'17号洞'!D127,'18号洞'!D127)/SUM('1号洞'!C127,'2号洞'!C127,'3号洞'!C127,'4号洞'!C127,'5号洞'!C127,'6号洞'!C127,'7号洞'!C127,'8号洞'!C127,'9号洞'!C127,'10号洞'!C127,'11号洞'!C127,'12号洞'!C127,'13号洞'!C127,'14号洞'!C127,'15号洞'!C127,'16号洞'!C127,'17号洞'!C127,'18号洞'!C127),“-”)</f>
        <v>0.2</v>
      </c>
      <c r="O4" s="41"/>
      <c r="P4" s="9" t="s">
        <v>106</v>
      </c>
      <c r="Q4" s="42">
        <f ca="1">IFERROR(SUM('1号洞'!E120,'2号洞'!E120,'3号洞'!E120,'4号洞'!E120,'5号洞'!E120,'6号洞'!E120,'7号洞'!E120,'8号洞'!E120,'9号洞'!E120,'10号洞'!E120,'11号洞'!E120,'12号洞'!E120,'13号洞'!E120,'14号洞'!E120,'15号洞'!E120,'16号洞'!E120,'17号洞'!E120,'18号洞'!E120)/SUM('1号洞'!D120,'2号洞'!D120,'3号洞'!D120,'4号洞'!D120,'5号洞'!D120,'6号洞'!D120,'7号洞'!D120,'8号洞'!D120,'9号洞'!D120,'10号洞'!D120,'11号洞'!D120,'12号洞'!D120,'13号洞'!D120,'14号洞'!D120,'15号洞'!D120,'16号洞'!D120,'17号洞'!D120,'18号洞'!D120),"-")</f>
        <v>0</v>
      </c>
      <c r="T4" s="41"/>
      <c r="U4" s="9" t="s">
        <v>148</v>
      </c>
      <c r="V4" s="42">
        <f ca="1">IFERROR(SUM('1号洞'!D93,'2号洞'!D93,'3号洞'!D93,'4号洞'!D93,'5号洞'!D93,'6号洞'!D93,'7号洞'!D93,'8号洞'!D93,'9号洞'!D93,'10号洞'!D93,'11号洞'!D93,'12号洞'!D93,'13号洞'!D93,'14号洞'!D93,'15号洞'!D93,'16号洞'!D93,'17号洞'!D93,'18号洞'!D93)/SUM('1号洞'!C93,'2号洞'!C93,'3号洞'!C93,'4号洞'!C93,'5号洞'!C93,'6号洞'!C93,'7号洞'!C93,'8号洞'!C93,'9号洞'!C93,'10号洞'!C93,'11号洞'!C93,'12号洞'!C93,'13号洞'!C93,'14号洞'!C93,'15号洞'!C93,'16号洞'!C93,'17号洞'!C93,'18号洞'!C93),"-")</f>
        <v>1</v>
      </c>
    </row>
    <row r="5" spans="2:22">
      <c r="C5" s="9" t="s">
        <v>84</v>
      </c>
      <c r="D5" s="42">
        <f>SUM('1号洞'!C87+0,'2号洞'!C87+0,'3号洞'!C87+0,'4号洞'!C87+0,'5号洞'!C87+0,'6号洞'!C87+0,'7号洞'!C87+0,'8号洞'!C87+0,'9号洞'!C87+0,'10号洞'!C87+0,'11号洞'!C87+0,'12号洞'!C87+0,'13号洞'!C87+0,'14号洞'!C87+0,'15号洞'!C87+0,'16号洞'!C87+0,'17号洞'!C87+0,'18号洞'!C87+0)/18</f>
        <v>0.33333333333333331</v>
      </c>
      <c r="F5" s="41"/>
      <c r="G5" s="39" t="s">
        <v>135</v>
      </c>
      <c r="H5" s="42" cm="1">
        <f t="array" ref="H5">IFERROR(SUM('1号洞'!J90,'2号洞'!J90,'3号洞'!J90,'4号洞'!J90,'5号洞'!J90,'6号洞'!J90,'7号洞'!J90,'8号洞'!J90,'9号洞'!J90,'10号洞'!J90,'11号洞'!J90,'12号洞'!J90,'13号洞'!J90,'14号洞'!J90,'15号洞'!J90,'16号洞'!J90,'17号洞'!J90,'18号洞'!J90)/SUM('1号洞'!F90,'2号洞'!F90,'3号洞'!F90,'4号洞'!F90,'5号洞'!F90,'6号洞'!F90,'7号洞'!F90,'8号洞'!F90,'9号洞'!F90,'10号洞'!F90,'11号洞'!F90,'12号洞'!F90,'13号洞'!F90,'14号洞'!F90,'15号洞'!F90,'16号洞'!F90,'17号洞'!F90,'18号洞'!F90),“-”)</f>
        <v>0.7142857142857143</v>
      </c>
      <c r="J5" s="41"/>
      <c r="K5" s="9" t="s">
        <v>118</v>
      </c>
      <c r="L5" s="42" cm="1">
        <f t="array" aca="1" ref="L5" ca="1">IFERROR(SUM('1号洞'!D128,'2号洞'!D128,'3号洞'!D128,'4号洞'!D128,'5号洞'!D128,'6号洞'!D128,'7号洞'!D128,'8号洞'!D128,'9号洞'!D128,'10号洞'!D128,'11号洞'!D128,'12号洞'!D128,'13号洞'!D128,'14号洞'!D128,'15号洞'!D128,'16号洞'!D128,'17号洞'!D128,'18号洞'!D128)/SUM('1号洞'!C128,'2号洞'!C128,'3号洞'!C128,'4号洞'!C128,'5号洞'!C128,'6号洞'!C128,'7号洞'!C128,'8号洞'!C128,'9号洞'!C128,'10号洞'!C128,'11号洞'!C128,'12号洞'!C128,'13号洞'!C128,'14号洞'!C128,'15号洞'!C128,'16号洞'!C128,'17号洞'!C128,'18号洞'!C128),“-”)</f>
        <v>0.5</v>
      </c>
      <c r="O5" s="41"/>
      <c r="P5" s="9" t="s">
        <v>107</v>
      </c>
      <c r="Q5" s="42">
        <f ca="1">IFERROR(SUM('1号洞'!E121,'2号洞'!E121,'3号洞'!E121,'4号洞'!E121,'5号洞'!E121,'6号洞'!E121,'7号洞'!E121,'8号洞'!E121,'9号洞'!E121,'10号洞'!E121,'11号洞'!E121,'12号洞'!E121,'13号洞'!E121,'14号洞'!E121,'15号洞'!E121,'16号洞'!E121,'17号洞'!E121,'18号洞'!E121)/SUM('1号洞'!D121,'2号洞'!D121,'3号洞'!D121,'4号洞'!D121,'5号洞'!D121,'6号洞'!D121,'7号洞'!D121,'8号洞'!D121,'9号洞'!D121,'10号洞'!D121,'11号洞'!D121,'12号洞'!D121,'13号洞'!D121,'14号洞'!D121,'15号洞'!D121,'16号洞'!D121,'17号洞'!D121,'18号洞'!D121),"-")</f>
        <v>0</v>
      </c>
      <c r="T5" s="41"/>
      <c r="U5" s="9" t="s">
        <v>149</v>
      </c>
      <c r="V5" s="42">
        <f ca="1">IFERROR(SUM('1号洞'!D94,'2号洞'!D94,'3号洞'!D94,'4号洞'!D94,'5号洞'!D94,'6号洞'!D94,'7号洞'!D94,'8号洞'!D94,'9号洞'!D94,'10号洞'!D94,'11号洞'!D94,'12号洞'!D94,'13号洞'!D94,'14号洞'!D94,'15号洞'!D94,'16号洞'!D94,'17号洞'!D94,'18号洞'!D94)/SUM('1号洞'!C94,'2号洞'!C94,'3号洞'!C94,'4号洞'!C94,'5号洞'!C94,'6号洞'!C94,'7号洞'!C94,'8号洞'!C94,'9号洞'!C94,'10号洞'!C94,'11号洞'!C94,'12号洞'!C94,'13号洞'!C94,'14号洞'!C94,'15号洞'!C94,'16号洞'!C94,'17号洞'!C94,'18号洞'!C94),"-")</f>
        <v>0.88888888888888884</v>
      </c>
    </row>
    <row r="6" spans="2:22">
      <c r="C6" s="9" t="s">
        <v>85</v>
      </c>
      <c r="D6" s="42">
        <f>SUM('1号洞'!C75+0,'2号洞'!C75+0,'3号洞'!C75+0,'4号洞'!C75+0,'5号洞'!C75+0,'6号洞'!C75+0,'7号洞'!C75+0,'8号洞'!C75+0,'9号洞'!C75+0,'10号洞'!C75+0,'11号洞'!C75+0,'12号洞'!C75+0,'13号洞'!C75+0,'14号洞'!C75+0,'15号洞'!C75+0,'16号洞'!C75+0,'17号洞'!C75+0,'18号洞'!C88+0)/18</f>
        <v>0</v>
      </c>
      <c r="F6" s="41"/>
      <c r="G6" s="39" t="s">
        <v>136</v>
      </c>
      <c r="H6" s="42" cm="1">
        <f t="array" ref="H6">IFERROR(SUM('1号洞'!K90,'2号洞'!K90,'3号洞'!K90,'4号洞'!K90,'5号洞'!K90,'6号洞'!K90,'7号洞'!K90,'8号洞'!K90,'9号洞'!K90,'10号洞'!K90,'11号洞'!K90,'12号洞'!K90,'13号洞'!K90,'14号洞'!K90,'15号洞'!K90,'16号洞'!K90,'17号洞'!K90,'18号洞'!K90)/SUM('1号洞'!F90,'2号洞'!F90,'3号洞'!F90,'4号洞'!F90,'5号洞'!F90,'6号洞'!F90,'7号洞'!F90,'8号洞'!F90,'9号洞'!F90,'10号洞'!F90,'11号洞'!F90,'12号洞'!F90,'13号洞'!F90,'14号洞'!F90,'15号洞'!F90,'16号洞'!F90,'17号洞'!F90,'18号洞'!F90),“-”)</f>
        <v>0</v>
      </c>
      <c r="J6" s="41"/>
      <c r="K6" s="9" t="s">
        <v>119</v>
      </c>
      <c r="L6" s="42" cm="1">
        <f t="array" aca="1" ref="L6" ca="1">IFERROR(SUM('1号洞'!D129,'2号洞'!D129,'3号洞'!D129,'4号洞'!D129,'5号洞'!D129,'6号洞'!D129,'7号洞'!D129,'8号洞'!D129,'9号洞'!D129,'10号洞'!D129,'11号洞'!D129,'12号洞'!D129,'13号洞'!D129,'14号洞'!D129,'15号洞'!D129,'16号洞'!D129,'17号洞'!D129,'18号洞'!D129)/SUM('1号洞'!C129,'2号洞'!C129,'3号洞'!C129,'4号洞'!C129,'5号洞'!C129,'6号洞'!C129,'7号洞'!C129,'8号洞'!C129,'9号洞'!C129,'10号洞'!C129,'11号洞'!C129,'12号洞'!C129,'13号洞'!C129,'14号洞'!C129,'15号洞'!C129,'16号洞'!C129,'17号洞'!C129,'18号洞'!C129),“-”)</f>
        <v>0</v>
      </c>
      <c r="O6" s="41"/>
      <c r="P6" s="9" t="s">
        <v>108</v>
      </c>
      <c r="Q6" s="42">
        <f ca="1">IFERROR(SUM('1号洞'!E122,'2号洞'!E122,'3号洞'!E122,'4号洞'!E122,'5号洞'!E122,'6号洞'!E122,'7号洞'!E122,'8号洞'!E122,'9号洞'!E122,'10号洞'!E122,'11号洞'!E122,'12号洞'!E122,'13号洞'!E122,'14号洞'!E122,'15号洞'!E122,'16号洞'!E122,'17号洞'!E122,'18号洞'!E122)/SUM('1号洞'!D122,'2号洞'!D122,'3号洞'!D122,'4号洞'!D122,'5号洞'!D122,'6号洞'!D122,'7号洞'!D122,'8号洞'!D122,'9号洞'!D122,'10号洞'!D122,'11号洞'!D122,'12号洞'!D122,'13号洞'!D122,'14号洞'!D122,'15号洞'!D122,'16号洞'!D122,'17号洞'!D122,'18号洞'!D122),"-")</f>
        <v>0</v>
      </c>
      <c r="T6" s="41"/>
      <c r="U6" s="9" t="s">
        <v>150</v>
      </c>
      <c r="V6" s="42">
        <f ca="1">IFERROR(SUM('1号洞'!D95,'2号洞'!D95,'3号洞'!D95,'4号洞'!D95,'5号洞'!D95,'6号洞'!D95,'7号洞'!D95,'8号洞'!D95,'9号洞'!D95,'10号洞'!D95,'11号洞'!D95,'12号洞'!D95,'13号洞'!D95,'14号洞'!D95,'15号洞'!D95,'16号洞'!D95,'17号洞'!D95,'18号洞'!D95)/SUM('1号洞'!C95,'2号洞'!C95,'3号洞'!C95,'4号洞'!C95,'5号洞'!C95,'6号洞'!C95,'7号洞'!C95,'8号洞'!C95,'9号洞'!C95,'10号洞'!C95,'11号洞'!C95,'12号洞'!C95,'13号洞'!C95,'14号洞'!C95,'15号洞'!C95,'16号洞'!C95,'17号洞'!C95,'18号洞'!C95),"-")</f>
        <v>0.125</v>
      </c>
    </row>
    <row r="7" spans="2:22">
      <c r="C7" s="9" t="s">
        <v>86</v>
      </c>
      <c r="D7" s="44" cm="1">
        <f t="array" ref="D7">IFERROR(SUM('1号洞'!F87,'2号洞'!F87,'3号洞'!F87,'4号洞'!F87,'5号洞'!F87,'6号洞'!F87,'7号洞'!F87,'8号洞'!F87,'9号洞'!F87,'10号洞'!F87,'11号洞'!F87,'12号洞'!F87,'13号洞'!F87,'14号洞'!F87,'15号洞'!F87,'16号洞'!F87,'17号洞'!F87,'18号洞'!F87)/SUM('1号洞'!C87+0,'2号洞'!C87+0,'3号洞'!C87+0,'4号洞'!C87+0,'5号洞'!C87+0,'6号洞'!C87+0,'7号洞'!C87+0,'8号洞'!C87+0,'9号洞'!C87+0,'10号洞'!C87+0,'11号洞'!C87+0,'12号洞'!C87+0,'13号洞'!C87+0,'14号洞'!C87+0,'15号洞'!C87+0,'16号洞'!C87+0,'17号洞'!C87+0,'18号洞'!C87+0),“-”)</f>
        <v>1.8333333333333333</v>
      </c>
      <c r="F7" s="41"/>
      <c r="G7" s="39" t="s">
        <v>137</v>
      </c>
      <c r="H7" s="42" cm="1">
        <f t="array" ref="H7">IFERROR(SUM('1号洞'!L90,'2号洞'!L90,'3号洞'!L90,'4号洞'!L90,'5号洞'!L90,'6号洞'!L90,'7号洞'!L90,'8号洞'!L90,'9号洞'!L90,'10号洞'!L90,'11号洞'!L90,'12号洞'!L90,'13号洞'!L90,'14号洞'!L90,'15号洞'!L90,'16号洞'!L90,'17号洞'!L90,'18号洞'!L90)/SUM('1号洞'!F90,'2号洞'!F90,'3号洞'!F90,'4号洞'!F90,'5号洞'!F90,'6号洞'!F90,'7号洞'!F90,'8号洞'!F90,'9号洞'!F90,'10号洞'!F90,'11号洞'!F90,'12号洞'!F90,'13号洞'!F90,'14号洞'!F90,'15号洞'!F90,'16号洞'!F90,'17号洞'!F90,'18号洞'!F90),“-”)</f>
        <v>0.2857142857142857</v>
      </c>
      <c r="J7" s="41"/>
      <c r="K7" s="9" t="s">
        <v>120</v>
      </c>
      <c r="L7" s="42" t="str">
        <f ca="1">IFERROR(SUM('1号洞'!D130,'2号洞'!D130,'3号洞'!D130,'4号洞'!D130,'5号洞'!D130,'6号洞'!D130,'7号洞'!D130,'8号洞'!D130,'9号洞'!D130,'10号洞'!D130,'11号洞'!D130,'12号洞'!D130,'13号洞'!D130,'14号洞'!D130,'15号洞'!D130,'16号洞'!D130,'17号洞'!D130,'18号洞'!D130)/SUM('1号洞'!C130,'2号洞'!C130,'3号洞'!C130,'4号洞'!C130,'5号洞'!C130,'6号洞'!C130,'7号洞'!C130,'8号洞'!C130,'9号洞'!C130,'10号洞'!C130,'11号洞'!C130,'12号洞'!C130,'13号洞'!C130,'14号洞'!C130,'15号洞'!C130,'16号洞'!C130,'17号洞'!C130,'18号洞'!C130),"-")</f>
        <v>-</v>
      </c>
      <c r="O7" s="41"/>
      <c r="P7" s="9" t="s">
        <v>109</v>
      </c>
      <c r="Q7" s="43">
        <f ca="1">IFERROR(SUM('1号洞'!F118,'2号洞'!F118,'3号洞'!F118,'4号洞'!F118,'5号洞'!F118,'6号洞'!F118,'7号洞'!F118,'8号洞'!F118,'9号洞'!F118,'10号洞'!F118,'11号洞'!F118,'12号洞'!F118,'13号洞'!F118,'14号洞'!F118,'15号洞'!F118,'16号洞'!F118,'17号洞'!F118,'18号洞'!F118)/SUM('1号洞'!D118,'2号洞'!D118,'3号洞'!D118,'4号洞'!D118,'5号洞'!D118,'6号洞'!D118,'7号洞'!D118,'8号洞'!D118,'9号洞'!D118,'10号洞'!D118,'11号洞'!D118,'12号洞'!D118,'13号洞'!D118,'14号洞'!D118,'15号洞'!D118,'16号洞'!D118,'17号洞'!D118,'18号洞'!D118),"-")</f>
        <v>6</v>
      </c>
      <c r="R7" s="9" t="s">
        <v>127</v>
      </c>
      <c r="T7" s="41"/>
      <c r="U7" s="9" t="s">
        <v>151</v>
      </c>
      <c r="V7" s="42">
        <f ca="1">IFERROR(SUM('1号洞'!D96,'2号洞'!D96,'3号洞'!D96,'4号洞'!D96,'5号洞'!D96,'6号洞'!D96,'7号洞'!D96,'8号洞'!D96,'9号洞'!D96,'10号洞'!D96,'11号洞'!D96,'12号洞'!D96,'13号洞'!D96,'14号洞'!D96,'15号洞'!D96,'16号洞'!D96,'17号洞'!D96,'18号洞'!D96)/SUM('1号洞'!C96,'2号洞'!C96,'3号洞'!C96,'4号洞'!C96,'5号洞'!C96,'6号洞'!C96,'7号洞'!C96,'8号洞'!C96,'9号洞'!C96,'10号洞'!C96,'11号洞'!C96,'12号洞'!C96,'13号洞'!C96,'14号洞'!C96,'15号洞'!C96,'16号洞'!C96,'17号洞'!C96,'18号洞'!C96),"-")</f>
        <v>0</v>
      </c>
    </row>
    <row r="8" spans="2:22">
      <c r="C8" s="9" t="s">
        <v>88</v>
      </c>
      <c r="D8" s="44" cm="1">
        <f t="array" ref="D8">IFERROR(SUM('1号洞'!E89,'2号洞'!E89,'3号洞'!E89,'4号洞'!E89,'5号洞'!E89,'6号洞'!E89,'7号洞'!E89,'8号洞'!E89,'9号洞'!E89,'10号洞'!E89,'11号洞'!E89,'12号洞'!E89,'13号洞'!E89,'14号洞'!E89,'15号洞'!E89,'16号洞'!E89,'17号洞'!E89,'18号洞'!E89)/SUM('1号洞'!F89,'2号洞'!F89,'3号洞'!F89,'4号洞'!F89,'5号洞'!F89,'6号洞'!F89,'7号洞'!F89,'8号洞'!F89,'9号洞'!F89,'10号洞'!F89,'11号洞'!F89,'12号洞'!F89,'13号洞'!F89,'14号洞'!F89,'15号洞'!F89,'16号洞'!F89,'17号洞'!F89,'18号洞'!F89),“-”)</f>
        <v>192.42857142857142</v>
      </c>
      <c r="J8" s="41"/>
      <c r="K8" s="9" t="s">
        <v>121</v>
      </c>
      <c r="L8" s="43">
        <f ca="1">IFERROR(SUM('1号洞'!E125,'2号洞'!E125,'3号洞'!E125,'4号洞'!E125,'5号洞'!E125,'6号洞'!E125,'7号洞'!E125,'8号洞'!E125,'9号洞'!E125,'10号洞'!E125,'11号洞'!E125,'12号洞'!E125,'13号洞'!E125,'14号洞'!E125,'15号洞'!E125,'16号洞'!E125,'17号洞'!E125,'18号洞'!E125)/SUM('1号洞'!D125,'2号洞'!D125,'3号洞'!D125,'4号洞'!D125,'5号洞'!D125,'6号洞'!D125,'7号洞'!D125,'8号洞'!D125,'9号洞'!D125,'10号洞'!D125,'11号洞'!D125,'12号洞'!D125,'13号洞'!D125,'14号洞'!D125,'15号洞'!D125,'16号洞'!D125,'17号洞'!D125,'18号洞'!D125),"-")</f>
        <v>18</v>
      </c>
      <c r="M8" s="9" t="s">
        <v>127</v>
      </c>
      <c r="O8" s="41"/>
      <c r="P8" s="9" t="s">
        <v>110</v>
      </c>
      <c r="Q8" s="43">
        <f ca="1">IFERROR(SUM('1号洞'!F119,'2号洞'!F119,'3号洞'!F119,'4号洞'!F119,'5号洞'!F119,'6号洞'!F119,'7号洞'!F119,'8号洞'!F119,'9号洞'!F119,'10号洞'!F119,'11号洞'!F119,'12号洞'!F119,'13号洞'!F119,'14号洞'!F119,'15号洞'!F119,'16号洞'!F119,'17号洞'!F119,'18号洞'!F119)/SUM('1号洞'!D119,'2号洞'!D119,'3号洞'!D119,'4号洞'!D119,'5号洞'!D119,'6号洞'!D119,'7号洞'!D119,'8号洞'!D119,'9号洞'!D119,'10号洞'!D119,'11号洞'!D119,'12号洞'!D119,'13号洞'!D119,'14号洞'!D119,'15号洞'!D119,'16号洞'!D119,'17号洞'!D119,'18号洞'!D119),"-")</f>
        <v>15</v>
      </c>
      <c r="R8" s="9" t="s">
        <v>127</v>
      </c>
      <c r="T8" s="41"/>
      <c r="U8" s="9" t="s">
        <v>152</v>
      </c>
      <c r="V8" s="42">
        <f ca="1">IFERROR(SUM('1号洞'!D97,'2号洞'!D97,'3号洞'!D97,'4号洞'!D97,'5号洞'!D97,'6号洞'!D97,'7号洞'!D97,'8号洞'!D97,'9号洞'!D97,'10号洞'!D97,'11号洞'!D97,'12号洞'!D97,'13号洞'!D97,'14号洞'!D97,'15号洞'!D97,'16号洞'!D97,'17号洞'!D97,'18号洞'!D97)/SUM('1号洞'!C97,'2号洞'!C97,'3号洞'!C97,'4号洞'!C97,'5号洞'!C97,'6号洞'!C97,'7号洞'!C97,'8号洞'!C97,'9号洞'!C97,'10号洞'!C97,'11号洞'!C97,'12号洞'!C97,'13号洞'!C97,'14号洞'!C97,'15号洞'!C97,'16号洞'!C97,'17号洞'!C97,'18号洞'!C97),"-")</f>
        <v>0</v>
      </c>
    </row>
    <row r="9" spans="2:22">
      <c r="C9" s="9" t="s">
        <v>89</v>
      </c>
      <c r="D9" s="44">
        <f>MAX('1号洞'!E89,'2号洞'!E89,'3号洞'!E89,'4号洞'!E89,'5号洞'!E89,'6号洞'!E89,'7号洞'!E89,'8号洞'!E89,'9号洞'!E89,'10号洞'!E89,'11号洞'!E89,'12号洞'!E89,'13号洞'!E89,'14号洞'!E89,'15号洞'!E89,'16号洞'!E89,'17号洞'!E89,'18号洞'!E89)</f>
        <v>208</v>
      </c>
      <c r="J9" s="41"/>
      <c r="K9" s="9" t="s">
        <v>122</v>
      </c>
      <c r="L9" s="43">
        <f ca="1">IFERROR(SUM('1号洞'!E126,'2号洞'!E126,'3号洞'!E126,'4号洞'!E126,'5号洞'!E126,'6号洞'!E126,'7号洞'!E126,'8号洞'!E126,'9号洞'!E126,'10号洞'!E126,'11号洞'!E126,'12号洞'!E126,'13号洞'!E126,'14号洞'!E126,'15号洞'!E126,'16号洞'!E126,'17号洞'!E126,'18号洞'!E126)/SUM('1号洞'!D126,'2号洞'!D126,'3号洞'!D126,'4号洞'!D126,'5号洞'!D126,'6号洞'!D126,'7号洞'!D126,'8号洞'!D126,'9号洞'!D126,'10号洞'!D126,'11号洞'!D126,'12号洞'!D126,'13号洞'!D126,'14号洞'!D126,'15号洞'!D126,'16号洞'!D126,'17号洞'!D126,'18号洞'!D126),"-")</f>
        <v>36</v>
      </c>
      <c r="M9" s="9" t="s">
        <v>127</v>
      </c>
      <c r="O9" s="41"/>
      <c r="P9" s="9" t="s">
        <v>111</v>
      </c>
      <c r="Q9" s="43">
        <f ca="1">IFERROR(SUM('1号洞'!F120,'2号洞'!F120,'3号洞'!F120,'4号洞'!F120,'5号洞'!F120,'6号洞'!F120,'7号洞'!F120,'8号洞'!F120,'9号洞'!F120,'10号洞'!F120,'11号洞'!F120,'12号洞'!F120,'13号洞'!F120,'14号洞'!F120,'15号洞'!F120,'16号洞'!F120,'17号洞'!F120,'18号洞'!F120)/SUM('1号洞'!D120,'2号洞'!D120,'3号洞'!D120,'4号洞'!D120,'5号洞'!D120,'6号洞'!D120,'7号洞'!D120,'8号洞'!D120,'9号洞'!D120,'10号洞'!D120,'11号洞'!D120,'12号洞'!D120,'13号洞'!D120,'14号洞'!D120,'15号洞'!D120,'16号洞'!D120,'17号洞'!D120,'18号洞'!D120),"-")</f>
        <v>21</v>
      </c>
      <c r="R9" s="9" t="s">
        <v>127</v>
      </c>
      <c r="T9" s="41"/>
      <c r="U9" s="40" t="s">
        <v>153</v>
      </c>
      <c r="V9" s="42">
        <f>IFERROR(SUM('1号洞'!E101,'2号洞'!E101,'3号洞'!E101,'4号洞'!E101,'5号洞'!E101,'6号洞'!E101,'7号洞'!E101,'8号洞'!E101,'9号洞'!E101,'10号洞'!E101,'11号洞'!E101,'12号洞'!E101,'13号洞'!E101,'14号洞'!E101,'15号洞'!E101,'16号洞'!E101,'17号洞'!E101,'18号洞'!E101)/SUM('1号洞'!C101,'2号洞'!C101,'3号洞'!C101,'4号洞'!C101,'5号洞'!C101,'6号洞'!C101,'7号洞'!C101,'8号洞'!C101,'9号洞'!C101,'10号洞'!C101,'11号洞'!C101,'12号洞'!C101,'13号洞'!C101,'14号洞'!C101,'15号洞'!C101,'16号洞'!C101,'17号洞'!C101,'18号洞'!C101),"-")</f>
        <v>0</v>
      </c>
    </row>
    <row r="10" spans="2:22">
      <c r="C10" s="9" t="s">
        <v>90</v>
      </c>
      <c r="D10" s="42" cm="1">
        <f t="array" ref="D10">IFERROR(SUM('1号洞'!E90+0,'2号洞'!E90+0,'3号洞'!E90+0,'4号洞'!E90+0,'5号洞'!E90+0,'6号洞'!E90+0,'7号洞'!E90+0,'8号洞'!E90+0,'9号洞'!E90+0,'10号洞'!E90+0,'11号洞'!E90+0,'12号洞'!E90+0,'13号洞'!E90+0,'14号洞'!E90+0,'15号洞'!E90+0,'16号洞'!E90+0,'17号洞'!E90+0,'18号洞'!E90+0)/SUM('1号洞'!F90,'2号洞'!F90,'3号洞'!F90,'4号洞'!F90,'5号洞'!F90,'6号洞'!F90,'7号洞'!F90,'8号洞'!F90,'9号洞'!F90,'10号洞'!F90,'11号洞'!F90,'12号洞'!F90,'13号洞'!F90,'14号洞'!F90,'15号洞'!F90,'16号洞'!F90,'17号洞'!F90,'18号洞'!F90),“-”)</f>
        <v>0.9285714285714286</v>
      </c>
      <c r="J10" s="41"/>
      <c r="K10" s="9" t="s">
        <v>123</v>
      </c>
      <c r="L10" s="43">
        <f ca="1">IFERROR(SUM('1号洞'!E127,'2号洞'!E127,'3号洞'!E127,'4号洞'!E127,'5号洞'!E127,'6号洞'!E127,'7号洞'!E127,'8号洞'!E127,'9号洞'!E127,'10号洞'!E127,'11号洞'!E127,'12号洞'!E127,'13号洞'!E127,'14号洞'!E127,'15号洞'!E127,'16号洞'!E127,'17号洞'!E127,'18号洞'!E127)/SUM('1号洞'!D127,'2号洞'!D127,'3号洞'!D127,'4号洞'!D127,'5号洞'!D127,'6号洞'!D127,'7号洞'!D127,'8号洞'!D127,'9号洞'!D127,'10号洞'!D127,'11号洞'!D127,'12号洞'!D127,'13号洞'!D127,'14号洞'!D127,'15号洞'!D127,'16号洞'!D127,'17号洞'!D127,'18号洞'!D127),"-")</f>
        <v>12</v>
      </c>
      <c r="M10" s="9" t="s">
        <v>127</v>
      </c>
      <c r="O10" s="41"/>
      <c r="P10" s="9" t="s">
        <v>112</v>
      </c>
      <c r="Q10" s="43">
        <f ca="1">IFERROR(SUM('1号洞'!F121,'2号洞'!F121,'3号洞'!F121,'4号洞'!F121,'5号洞'!F121,'6号洞'!F121,'7号洞'!F121,'8号洞'!F121,'9号洞'!F121,'10号洞'!F121,'11号洞'!F121,'12号洞'!F121,'13号洞'!F121,'14号洞'!F121,'15号洞'!F121,'16号洞'!F121,'17号洞'!F121,'18号洞'!F121)/SUM('1号洞'!D121,'2号洞'!D121,'3号洞'!D121,'4号洞'!D121,'5号洞'!D121,'6号洞'!D121,'7号洞'!D121,'8号洞'!D121,'9号洞'!D121,'10号洞'!D121,'11号洞'!D121,'12号洞'!D121,'13号洞'!D121,'14号洞'!D121,'15号洞'!D121,'16号洞'!D121,'17号洞'!D121,'18号洞'!D121),"-")</f>
        <v>34.5</v>
      </c>
      <c r="R10" s="9" t="s">
        <v>127</v>
      </c>
      <c r="T10" s="41"/>
      <c r="U10" s="40" t="s">
        <v>154</v>
      </c>
      <c r="V10" s="42">
        <f>IFERROR(SUM('1号洞'!E102,'2号洞'!E102,'3号洞'!E102,'4号洞'!E102,'5号洞'!E102,'6号洞'!E102,'7号洞'!E102,'8号洞'!E102,'9号洞'!E102,'10号洞'!E102,'11号洞'!E102,'12号洞'!E102,'13号洞'!E102,'14号洞'!E102,'15号洞'!E102,'16号洞'!E102,'17号洞'!E102,'18号洞'!E102)/SUM('1号洞'!C102,'2号洞'!C102,'3号洞'!C102,'4号洞'!C102,'5号洞'!C102,'6号洞'!C102,'7号洞'!C102,'8号洞'!C102,'9号洞'!C102,'10号洞'!C102,'11号洞'!C102,'12号洞'!C102,'13号洞'!C102,'14号洞'!C102,'15号洞'!C102,'16号洞'!C102,'17号洞'!C102,'18号洞'!C102),"-")</f>
        <v>0</v>
      </c>
    </row>
    <row r="11" spans="2:22">
      <c r="C11" s="9" t="s">
        <v>94</v>
      </c>
      <c r="D11" s="45" cm="1">
        <f t="array" ref="D11">IFERROR(SUM('1号洞'!B133,'2号洞'!B133,'3号洞'!B133,'4号洞'!B133,'5号洞'!B133,'6号洞'!B133,'7号洞'!B133,'8号洞'!B133,'9号洞'!B133,'10号洞'!B133,'11号洞'!B133,'12号洞'!B133,'13号洞'!B133,'14号洞'!B133,'15号洞'!B133,'16号洞'!B133,'17号洞'!B133,'18号洞'!B133)/SUM('1号洞'!C133,'2号洞'!C133,'3号洞'!C133,'4号洞'!C133,'5号洞'!C133,'6号洞'!C133,'7号洞'!C133,'8号洞'!C133,'9号洞'!C133,'10号洞'!C133,'11号洞'!C133,'12号洞'!C133,'13号洞'!C133,'14号洞'!C133,'15号洞'!C133,'16号洞'!C133,'17号洞'!C133,'18号洞'!C133),“-”)</f>
        <v>3.25</v>
      </c>
      <c r="J11" s="41"/>
      <c r="K11" s="9" t="s">
        <v>124</v>
      </c>
      <c r="L11" s="43">
        <f ca="1">IFERROR(SUM('1号洞'!E128,'2号洞'!E128,'3号洞'!E128,'4号洞'!E128,'5号洞'!E128,'6号洞'!E128,'7号洞'!E128,'8号洞'!E128,'9号洞'!E128,'10号洞'!E128,'11号洞'!E128,'12号洞'!E128,'13号洞'!E128,'14号洞'!E128,'15号洞'!E128,'16号洞'!E128,'17号洞'!E128,'18号洞'!E128)/SUM('1号洞'!D128,'2号洞'!D128,'3号洞'!D128,'4号洞'!D128,'5号洞'!D128,'6号洞'!D128,'7号洞'!D128,'8号洞'!D128,'9号洞'!D128,'10号洞'!D128,'11号洞'!D128,'12号洞'!D128,'13号洞'!D128,'14号洞'!D128,'15号洞'!D128,'16号洞'!D128,'17号洞'!D128,'18号洞'!D128),"-")</f>
        <v>30</v>
      </c>
      <c r="M11" s="9" t="s">
        <v>127</v>
      </c>
      <c r="O11" s="41"/>
      <c r="P11" s="9" t="s">
        <v>113</v>
      </c>
      <c r="Q11" s="43">
        <f ca="1">IFERROR(SUM('1号洞'!F122,'2号洞'!F122,'3号洞'!F122,'4号洞'!F122,'5号洞'!F122,'6号洞'!F122,'7号洞'!F122,'8号洞'!F122,'9号洞'!F122,'10号洞'!F122,'11号洞'!F122,'12号洞'!F122,'13号洞'!F122,'14号洞'!F122,'15号洞'!F122,'16号洞'!F122,'17号洞'!F122,'18号洞'!F122)/SUM('1号洞'!D122,'2号洞'!D122,'3号洞'!D122,'4号洞'!D122,'5号洞'!D122,'6号洞'!D122,'7号洞'!D122,'8号洞'!D122,'9号洞'!D122,'10号洞'!D122,'11号洞'!D122,'12号洞'!D122,'13号洞'!D122,'14号洞'!D122,'15号洞'!D122,'16号洞'!D122,'17号洞'!D122,'18号洞'!D122),"-")</f>
        <v>18</v>
      </c>
      <c r="R11" s="9" t="s">
        <v>127</v>
      </c>
      <c r="T11" s="41"/>
      <c r="U11" s="9" t="s">
        <v>155</v>
      </c>
      <c r="V11" s="42">
        <f>IFERROR(SUM('1号洞'!E103,'2号洞'!E103,'3号洞'!E103,'4号洞'!E103,'5号洞'!E103,'6号洞'!E103,'7号洞'!E103,'8号洞'!E103,'9号洞'!E103,'10号洞'!E103,'11号洞'!E103,'12号洞'!E103,'13号洞'!E103,'14号洞'!E103,'15号洞'!E103,'16号洞'!E103,'17号洞'!E103,'18号洞'!E103)/SUM('1号洞'!C103,'2号洞'!C103,'3号洞'!C103,'4号洞'!C103,'5号洞'!C103,'6号洞'!C103,'7号洞'!C103,'8号洞'!C103,'9号洞'!C103,'10号洞'!C103,'11号洞'!C103,'12号洞'!C103,'13号洞'!C103,'14号洞'!C103,'15号洞'!C103,'16号洞'!C103,'17号洞'!C103,'18号洞'!C103),"-")</f>
        <v>0.5</v>
      </c>
    </row>
    <row r="12" spans="2:22">
      <c r="C12" s="9" t="s">
        <v>95</v>
      </c>
      <c r="D12" s="45" cm="1">
        <f t="array" ref="D12">IFERROR(SUM('1号洞'!B134,'2号洞'!B134,'3号洞'!B134,'4号洞'!B134,'5号洞'!B134,'6号洞'!B134,'7号洞'!B134,'8号洞'!B134,'9号洞'!B134,'10号洞'!B134,'11号洞'!B134,'12号洞'!B134,'13号洞'!B134,'14号洞'!B134,'15号洞'!B134,'16号洞'!B134,'17号洞'!B134,'18号洞'!B134)/SUM('1号洞'!C134,'2号洞'!C134,'3号洞'!C134,'4号洞'!C134,'5号洞'!C134,'6号洞'!C134,'7号洞'!C134,'8号洞'!C134,'9号洞'!C134,'10号洞'!C134,'11号洞'!C134,'12号洞'!C134,'13号洞'!C134,'14号洞'!C134,'15号洞'!C134,'16号洞'!C134,'17号洞'!C134,'18号洞'!C134),“-”)</f>
        <v>4.7</v>
      </c>
      <c r="J12" s="41"/>
      <c r="K12" s="9" t="s">
        <v>125</v>
      </c>
      <c r="L12" s="43" t="str">
        <f ca="1">IFERROR(SUM('1号洞'!E129,'2号洞'!E129,'3号洞'!E129,'4号洞'!E129,'5号洞'!E129,'6号洞'!E129,'7号洞'!E129,'8号洞'!E129,'9号洞'!E129,'10号洞'!E129,'11号洞'!E129,'12号洞'!E129,'13号洞'!E129,'14号洞'!E129,'15号洞'!E129,'16号洞'!E129,'17号洞'!E129,'18号洞'!E129)/SUM('1号洞'!D129,'2号洞'!D129,'3号洞'!D129,'4号洞'!D129,'5号洞'!D129,'6号洞'!D129,'7号洞'!D129,'8号洞'!D129,'9号洞'!D129,'10号洞'!D129,'11号洞'!D129,'12号洞'!D129,'13号洞'!D129,'14号洞'!D129,'15号洞'!D129,'16号洞'!D129,'17号洞'!D129,'18号洞'!D129),"-")</f>
        <v>-</v>
      </c>
      <c r="M12" s="9" t="s">
        <v>127</v>
      </c>
      <c r="O12" s="41"/>
      <c r="P12" s="9" t="s">
        <v>114</v>
      </c>
      <c r="Q12" s="43" t="str">
        <f ca="1">IFERROR(SUM('1号洞'!H118:H122,'2号洞'!H118:H122,'3号洞'!H118:H122,'4号洞'!H118:H122,'5号洞'!H118:H122,'6号洞'!H118:H122,'7号洞'!H118:H122,'8号洞'!H118:H122,'9号洞'!H118:H122,'10号洞'!H118:H122,'11号洞'!H118:H122,'12号洞'!H118:H122,'13号洞'!H118:H122,'14号洞'!H118:H122,'15号洞'!H118:H122,'16号洞'!H118:H122,'17号洞'!H118:H122,'18号洞'!H118:H122)/SUM('1号洞'!G118:G122,'2号洞'!G118:G122,'3号洞'!G118:G122,'4号洞'!G118:G122,'5号洞'!G118:G122,'6号洞'!G118:G122,'7号洞'!G118:G122,'8号洞'!G118:G122,'9号洞'!G118:G122,'10号洞'!G118:G122,'11号洞'!G118:G122,'12号洞'!G118:G122,'13号洞'!G118:G122,'14号洞'!G118:G122,'15号洞'!G118:G122,'16号洞'!G118:G122,'17号洞'!G118:G122,'18号洞'!G118:G122),"-")</f>
        <v>-</v>
      </c>
      <c r="R12" s="9" t="s">
        <v>127</v>
      </c>
    </row>
    <row r="13" spans="2:22">
      <c r="C13" s="9" t="s">
        <v>96</v>
      </c>
      <c r="D13" s="43" cm="1">
        <f t="array" ref="D13">IFERROR(SUM('1号洞'!B135,'2号洞'!B135,'3号洞'!B135,'4号洞'!B135,'5号洞'!B135,'6号洞'!B135,'7号洞'!B135,'8号洞'!B135,'9号洞'!B135,'10号洞'!B135,'11号洞'!B135,'12号洞'!B135,'13号洞'!B135,'14号洞'!B135,'15号洞'!B135,'16号洞'!B135,'17号洞'!B135,'18号洞'!B135)/SUM('1号洞'!C135,'2号洞'!C135,'3号洞'!C135,'4号洞'!C135,'5号洞'!C135,'6号洞'!C135,'7号洞'!C135,'8号洞'!C135,'9号洞'!C135,'10号洞'!C135,'11号洞'!C135,'12号洞'!C135,'13号洞'!C135,'14号洞'!C135,'15号洞'!C135,'16号洞'!C135,'17号洞'!C135,'18号洞'!C135),“-”)</f>
        <v>5.25</v>
      </c>
      <c r="J13" s="41"/>
      <c r="K13" s="9" t="s">
        <v>126</v>
      </c>
      <c r="L13" s="43" t="str">
        <f ca="1">IFERROR(SUM('1号洞'!E130,'2号洞'!E130,'3号洞'!E130,'4号洞'!E130,'5号洞'!E130,'6号洞'!E130,'7号洞'!E130,'8号洞'!E130,'9号洞'!E130,'10号洞'!E130,'11号洞'!E130,'12号洞'!E130,'13号洞'!E130,'14号洞'!E130,'15号洞'!E130,'16号洞'!E130,'17号洞'!E130,'18号洞'!E130)/SUM('1号洞'!D130,'2号洞'!D130,'3号洞'!D130,'4号洞'!D130,'5号洞'!D130,'6号洞'!D130,'7号洞'!D130,'8号洞'!D130,'9号洞'!D130,'10号洞'!D130,'11号洞'!D130,'12号洞'!D130,'13号洞'!D130,'14号洞'!D130,'15号洞'!D130,'16号洞'!D130,'17号洞'!D130,'18号洞'!D130),"-")</f>
        <v>-</v>
      </c>
      <c r="M13" s="9" t="s">
        <v>127</v>
      </c>
    </row>
    <row r="14" spans="2:22">
      <c r="C14" s="39" t="s">
        <v>100</v>
      </c>
      <c r="D14" s="43">
        <f>SUM('1号洞'!B136,'2号洞'!B136,'3号洞'!B136,'4号洞'!B136,'5号洞'!B136,'6号洞'!B136,'7号洞'!B136,'8号洞'!B136,'9号洞'!B136,'10号洞'!B136,'11号洞'!B136,'12号洞'!B136,'13号洞'!B136,'14号洞'!B136,'15号洞'!B136,'16号洞'!B136,'17号洞'!B136,'18号洞'!B136)</f>
        <v>0</v>
      </c>
    </row>
    <row r="15" spans="2:22">
      <c r="C15" s="39" t="s">
        <v>97</v>
      </c>
      <c r="D15" s="43">
        <f>SUM('1号洞'!B137,'2号洞'!B137,'3号洞'!B137,'4号洞'!B137,'5号洞'!B137,'6号洞'!B137,'7号洞'!B137,'8号洞'!B137,'9号洞'!B137,'10号洞'!B137,'11号洞'!B137,'12号洞'!B137,'13号洞'!B137,'14号洞'!B137,'15号洞'!B137,'16号洞'!B137,'17号洞'!B137,'18号洞'!B137)</f>
        <v>1</v>
      </c>
    </row>
    <row r="16" spans="2:22">
      <c r="C16" s="39" t="s">
        <v>98</v>
      </c>
      <c r="D16" s="43">
        <f>SUM('1号洞'!B138,'2号洞'!B138,'3号洞'!B138,'4号洞'!B138,'5号洞'!B138,'6号洞'!B138,'7号洞'!B138,'8号洞'!B138,'9号洞'!B138,'10号洞'!B138,'11号洞'!B138,'12号洞'!B138,'13号洞'!B138,'14号洞'!B138,'15号洞'!B138,'16号洞'!B138,'17号洞'!B138,'18号洞'!B138)</f>
        <v>8</v>
      </c>
    </row>
    <row r="17" spans="3:4">
      <c r="C17" s="39" t="s">
        <v>99</v>
      </c>
      <c r="D17" s="43">
        <f>SUM('1号洞'!B139,'2号洞'!B139,'3号洞'!B139,'4号洞'!B139,'5号洞'!B139,'6号洞'!B139,'7号洞'!B139,'8号洞'!B139,'9号洞'!B139,'10号洞'!B139,'11号洞'!B139,'12号洞'!B139,'13号洞'!B139,'14号洞'!B139,'15号洞'!B139,'16号洞'!B139,'17号洞'!B139,'18号洞'!B139)</f>
        <v>8</v>
      </c>
    </row>
    <row r="18" spans="3:4">
      <c r="C18" s="39" t="s">
        <v>101</v>
      </c>
      <c r="D18" s="43">
        <f>SUM('1号洞'!B140,'2号洞'!B140,'3号洞'!B140,'4号洞'!B140,'5号洞'!B140,'6号洞'!B140,'7号洞'!B140,'8号洞'!B140,'9号洞'!B140,'10号洞'!B140,'11号洞'!B140,'12号洞'!B140,'13号洞'!B140,'14号洞'!B140,'15号洞'!B140,'16号洞'!B140,'17号洞'!B140,'18号洞'!B140)</f>
        <v>1</v>
      </c>
    </row>
    <row r="19" spans="3:4">
      <c r="C19" s="3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topLeftCell="A86" zoomScale="94" zoomScaleNormal="94" workbookViewId="0">
      <selection activeCell="A93" sqref="A93:XFD95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4</v>
      </c>
      <c r="D2" s="12" t="s">
        <v>1</v>
      </c>
    </row>
    <row r="3" spans="2:7" ht="16.5" customHeight="1">
      <c r="B3" s="10" t="s">
        <v>2</v>
      </c>
      <c r="C3" s="11">
        <v>6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169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361</v>
      </c>
      <c r="D7" s="20" t="s">
        <v>8</v>
      </c>
      <c r="E7" s="10" t="s">
        <v>7</v>
      </c>
      <c r="F7" s="5">
        <v>51</v>
      </c>
      <c r="G7" s="20" t="s">
        <v>9</v>
      </c>
    </row>
    <row r="8" spans="2:7" ht="16.5" customHeight="1">
      <c r="B8" s="22" t="s">
        <v>10</v>
      </c>
      <c r="C8" s="46" t="s">
        <v>170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>
        <v>6</v>
      </c>
      <c r="G9" s="20" t="s">
        <v>9</v>
      </c>
    </row>
    <row r="10" spans="2:7" ht="16.5" customHeight="1">
      <c r="B10" s="22" t="s">
        <v>13</v>
      </c>
      <c r="C10" s="46" t="s">
        <v>172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>
        <v>1</v>
      </c>
      <c r="G11" s="20" t="s">
        <v>9</v>
      </c>
    </row>
    <row r="12" spans="2:7" ht="16.5" customHeight="1">
      <c r="B12" s="13" t="s">
        <v>16</v>
      </c>
      <c r="C12" s="46" t="s">
        <v>173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156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170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174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 t="s">
        <v>175</v>
      </c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>
        <v>31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 t="s">
        <v>179</v>
      </c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 t="s">
        <v>176</v>
      </c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 t="s">
        <v>174</v>
      </c>
      <c r="D22" s="47"/>
      <c r="K22" s="27"/>
    </row>
    <row r="23" spans="2:11" ht="16.5" customHeight="1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6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0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3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3</v>
      </c>
      <c r="D86" s="32"/>
      <c r="E86" s="32" t="s">
        <v>46</v>
      </c>
      <c r="F86" s="32">
        <f>IF(C86=1,1,0)</f>
        <v>0</v>
      </c>
      <c r="G86" s="32" t="s">
        <v>47</v>
      </c>
      <c r="H86" s="32">
        <f>IF(C86&gt;2,1,0)</f>
        <v>1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0</v>
      </c>
      <c r="D87" s="32"/>
      <c r="E87" s="32" t="s">
        <v>87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0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205</v>
      </c>
      <c r="D89" s="32"/>
      <c r="E89" s="32">
        <f>IF(C6="1号木",C89,0)</f>
        <v>205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0</v>
      </c>
      <c r="K89" s="32" t="b">
        <f>IF(C8="偏左",TRUE,FALSE)</f>
        <v>0</v>
      </c>
      <c r="L89" s="32" t="b">
        <f>IF(C8="偏右",TRUE,FALSE)</f>
        <v>1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0</v>
      </c>
      <c r="K90" s="32">
        <f>IF(F90=1,K89+0,0)</f>
        <v>0</v>
      </c>
      <c r="L90" s="32">
        <f>IF(F90=1,L89+0,0)</f>
        <v>1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1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1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1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45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5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1</v>
      </c>
      <c r="D103" s="32"/>
      <c r="E103" s="32">
        <f>IF(C103=0,0,IF(COUNTIF(I101:I108,"&gt;0")&gt;2,1,0))</f>
        <v>1</v>
      </c>
      <c r="F103" s="32"/>
      <c r="G103" s="32"/>
      <c r="H103" s="32" t="s">
        <v>141</v>
      </c>
      <c r="I103" s="36">
        <f>F11-F13</f>
        <v>1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31</v>
      </c>
      <c r="D117" s="32" t="str" cm="1">
        <f t="array" aca="1" ref="D117" ca="1">IFERROR(INDIRECT("C"&amp;(C84*6)),0)</f>
        <v>56度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1</v>
      </c>
      <c r="D121" s="32" cm="1">
        <f t="array" aca="1" ref="D121" ca="1">IFERROR(IF(INDIRECT("C"&amp;(C84*6))="52度",C121,0) + IF(INDIRECT("C"&amp;(C84*6))="56度",C121,0),)</f>
        <v>1</v>
      </c>
      <c r="E121" s="32">
        <f>IF(AND(C82=TRUE, C87=FALSE),D121,0)</f>
        <v>0</v>
      </c>
      <c r="F121" s="32">
        <f ca="1">IF(D121=0,0,F7)</f>
        <v>51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125</v>
      </c>
      <c r="I124" s="32" cm="1">
        <f t="array" ref="I124:I125">IFERROR(_xlfn._xlws.FILTER(ROW(C6:C65),C6:C65="直攻","")-3,)</f>
        <v>13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0</v>
      </c>
      <c r="L124" s="32">
        <f ca="1">IF(OR(J124="52度",J124="56度"),"",H124)</f>
        <v>125</v>
      </c>
      <c r="M124" s="32" t="str">
        <f ca="1">VLOOKUP(TRUE,K124:L128,2,0)</f>
        <v/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cm="1">
        <f t="array" aca="1" ref="H125" ca="1">IFERROR(INDIRECT("C"&amp;I125)-IF(INDIRECT("C"&amp;(I125+6))=0,ROUND(F7/3,0),INDIRECT("C"&amp;(I125+6))),"")</f>
        <v>14</v>
      </c>
      <c r="I125" s="32">
        <v>19</v>
      </c>
      <c r="J125" s="32" t="str" cm="1">
        <f t="array" aca="1" ref="J125" ca="1">IFERROR(INDIRECT("C"&amp;I125-1),"")</f>
        <v>56度</v>
      </c>
      <c r="K125" s="32" t="b" cm="1">
        <f t="array" aca="1" ref="K125" ca="1">IF(INDIRECT("C"&amp;I125+6)&gt;0,FALSE,TRUE)</f>
        <v>1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1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6</v>
      </c>
      <c r="C134" s="32">
        <f>IF(C2=4,1,0)</f>
        <v>1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0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1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disablePrompts="1"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topLeftCell="A85" zoomScale="83" zoomScaleNormal="83" workbookViewId="0">
      <selection activeCell="C86" sqref="C86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5</v>
      </c>
      <c r="D2" s="12" t="s">
        <v>1</v>
      </c>
    </row>
    <row r="3" spans="2:7" ht="16.5" customHeight="1">
      <c r="B3" s="10" t="s">
        <v>2</v>
      </c>
      <c r="C3" s="11">
        <v>5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169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475</v>
      </c>
      <c r="D7" s="20" t="s">
        <v>8</v>
      </c>
      <c r="E7" s="10" t="s">
        <v>7</v>
      </c>
      <c r="F7" s="5">
        <v>6</v>
      </c>
      <c r="G7" s="20" t="s">
        <v>9</v>
      </c>
    </row>
    <row r="8" spans="2:7" ht="16.5" customHeight="1">
      <c r="B8" s="22" t="s">
        <v>10</v>
      </c>
      <c r="C8" s="46" t="s">
        <v>170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177</v>
      </c>
      <c r="D9" s="47"/>
      <c r="E9" s="10" t="s">
        <v>7</v>
      </c>
      <c r="F9" s="5"/>
      <c r="G9" s="20" t="s">
        <v>9</v>
      </c>
    </row>
    <row r="10" spans="2:7" ht="16.5" customHeight="1">
      <c r="B10" s="22" t="s">
        <v>13</v>
      </c>
      <c r="C10" s="46" t="s">
        <v>172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 t="s">
        <v>178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300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179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172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 t="s">
        <v>178</v>
      </c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>
        <v>200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 t="s">
        <v>170</v>
      </c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 t="s">
        <v>171</v>
      </c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 t="s">
        <v>172</v>
      </c>
      <c r="D22" s="47"/>
      <c r="K22" s="27"/>
    </row>
    <row r="23" spans="2:11" ht="16.5" customHeight="1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 t="s">
        <v>175</v>
      </c>
      <c r="D24" s="47"/>
    </row>
    <row r="25" spans="2:11" ht="16.5" customHeight="1">
      <c r="B25" s="10" t="s">
        <v>7</v>
      </c>
      <c r="C25" s="19">
        <v>99</v>
      </c>
      <c r="D25" s="20" t="s">
        <v>8</v>
      </c>
    </row>
    <row r="26" spans="2:11" ht="16.5" customHeight="1">
      <c r="B26" s="22" t="s">
        <v>10</v>
      </c>
      <c r="C26" s="46" t="s">
        <v>179</v>
      </c>
      <c r="D26" s="47"/>
    </row>
    <row r="27" spans="2:11" ht="16.5" customHeight="1">
      <c r="B27" s="22" t="s">
        <v>12</v>
      </c>
      <c r="C27" s="46" t="s">
        <v>171</v>
      </c>
      <c r="D27" s="47"/>
    </row>
    <row r="28" spans="2:11" ht="16.5" customHeight="1">
      <c r="B28" s="22" t="s">
        <v>13</v>
      </c>
      <c r="C28" s="46" t="s">
        <v>174</v>
      </c>
      <c r="D28" s="47"/>
    </row>
    <row r="29" spans="2:11" ht="16.5" customHeight="1">
      <c r="B29" s="10" t="s">
        <v>15</v>
      </c>
      <c r="C29" s="11">
        <v>0</v>
      </c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5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4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1</v>
      </c>
      <c r="D86" s="32"/>
      <c r="E86" s="32" t="s">
        <v>46</v>
      </c>
      <c r="F86" s="32">
        <f>IF(C86=1,1,0)</f>
        <v>1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0</v>
      </c>
      <c r="D87" s="32"/>
      <c r="E87" s="32" t="s">
        <v>87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1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175</v>
      </c>
      <c r="D89" s="32"/>
      <c r="E89" s="32">
        <f>IF(C6="1号木",C89,0)</f>
        <v>175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1</v>
      </c>
      <c r="J89" s="32" t="b">
        <f>IF(C8="直球",TRUE,FALSE)</f>
        <v>0</v>
      </c>
      <c r="K89" s="32" t="b">
        <f>IF(C8="偏左",TRUE,FALSE)</f>
        <v>0</v>
      </c>
      <c r="L89" s="32" t="b">
        <f>IF(C8="偏右",TRUE,FALSE)</f>
        <v>1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0</v>
      </c>
      <c r="D90" s="32"/>
      <c r="E90" s="32" t="b">
        <f>IF(C6="1号木",C90,0)</f>
        <v>0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1</v>
      </c>
      <c r="J90" s="32">
        <f>IF(F90=1,J89+0,0)</f>
        <v>0</v>
      </c>
      <c r="K90" s="32">
        <f>IF(F90=1,K89+0,0)</f>
        <v>0</v>
      </c>
      <c r="L90" s="32">
        <f>IF(F90=1,L89+0,0)</f>
        <v>1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0</v>
      </c>
      <c r="D93" s="32">
        <f ca="1">COUNTIF(C98,"&lt;=3")</f>
        <v>0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1</v>
      </c>
      <c r="D94" s="32">
        <f ca="1">COUNTIFS(C98,"&gt;3",C98,"&lt;=9")</f>
        <v>1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6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6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0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99</v>
      </c>
      <c r="D117" s="32" t="str" cm="1">
        <f t="array" aca="1" ref="D117" ca="1">IFERROR(INDIRECT("C"&amp;(C84*6)),0)</f>
        <v>56度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 ca="1"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 ca="1"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 ca="1"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 ca="1"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 ca="1"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97</v>
      </c>
      <c r="I124" s="32" cm="1">
        <f t="array" ref="I124">IFERROR(_xlfn._xlws.FILTER(ROW(C6:C65),C6:C65="直攻","")-3,)</f>
        <v>25</v>
      </c>
      <c r="J124" s="32" t="str" cm="1">
        <f t="array" aca="1" ref="J124" ca="1">IFERROR(INDIRECT("C"&amp;I124-1),"")</f>
        <v>56度</v>
      </c>
      <c r="K124" s="32" t="b" cm="1">
        <f t="array" aca="1" ref="K124" ca="1">IF(INDIRECT("C"&amp;I124+6)&gt;0,FALSE,TRUE)</f>
        <v>1</v>
      </c>
      <c r="L124" s="32" t="str">
        <f ca="1">IF(OR(J124="52度",J124="56度"),"",H124)</f>
        <v/>
      </c>
      <c r="M124" s="32" t="str">
        <f ca="1">VLOOKUP(TRUE,K124:L128,2,0)</f>
        <v/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0</v>
      </c>
      <c r="C134" s="32">
        <f>IF(C2=4,1,0)</f>
        <v>0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5</v>
      </c>
      <c r="C135" s="32">
        <f>IF(C2=5,1,0)</f>
        <v>1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topLeftCell="A82" zoomScale="83" zoomScaleNormal="83" workbookViewId="0">
      <selection activeCell="F7" sqref="F7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4</v>
      </c>
      <c r="D2" s="12" t="s">
        <v>1</v>
      </c>
    </row>
    <row r="3" spans="2:7" ht="16.5" customHeight="1">
      <c r="B3" s="10" t="s">
        <v>2</v>
      </c>
      <c r="C3" s="11">
        <v>4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169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298</v>
      </c>
      <c r="D7" s="20" t="s">
        <v>8</v>
      </c>
      <c r="E7" s="10" t="s">
        <v>7</v>
      </c>
      <c r="F7" s="5">
        <v>66</v>
      </c>
      <c r="G7" s="20" t="s">
        <v>9</v>
      </c>
    </row>
    <row r="8" spans="2:7" ht="16.5" customHeight="1">
      <c r="B8" s="22" t="s">
        <v>10</v>
      </c>
      <c r="C8" s="46" t="s">
        <v>179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>
        <v>6</v>
      </c>
      <c r="G9" s="20" t="s">
        <v>9</v>
      </c>
    </row>
    <row r="10" spans="2:7" ht="16.5" customHeight="1">
      <c r="B10" s="22" t="s">
        <v>13</v>
      </c>
      <c r="C10" s="46" t="s">
        <v>172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 t="s">
        <v>173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115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170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174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/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/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/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/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/>
      <c r="D22" s="47"/>
      <c r="K22" s="27"/>
    </row>
    <row r="23" spans="2:11" ht="16.5" customHeight="1">
      <c r="B23" s="10" t="s">
        <v>15</v>
      </c>
      <c r="C23" s="11"/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4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2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0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2</v>
      </c>
      <c r="D86" s="32"/>
      <c r="E86" s="32" t="s">
        <v>46</v>
      </c>
      <c r="F86" s="32">
        <f>IF(C86=1,1,0)</f>
        <v>0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1</v>
      </c>
      <c r="D87" s="32"/>
      <c r="E87" s="32" t="s">
        <v>87</v>
      </c>
      <c r="F87" s="32">
        <f>IF(C87,C86,0)</f>
        <v>2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0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183</v>
      </c>
      <c r="D89" s="32"/>
      <c r="E89" s="32">
        <f>IF(C6="1号木",C89,0)</f>
        <v>183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0</v>
      </c>
      <c r="D93" s="32">
        <f ca="1">COUNTIF(C98,"&lt;=3")</f>
        <v>0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1</v>
      </c>
      <c r="D94" s="32">
        <f ca="1">COUNTIFS(C98,"&gt;3",C98,"&lt;=9")</f>
        <v>1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1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6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60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6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1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115</v>
      </c>
      <c r="D117" s="32" t="str" cm="1">
        <f t="array" aca="1" ref="D117" ca="1">IFERROR(INDIRECT("C"&amp;(C84*6)),0)</f>
        <v>7铁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93</v>
      </c>
      <c r="I124" s="32" cm="1">
        <f t="array" ref="I124">IFERROR(_xlfn._xlws.FILTER(ROW(C6:C65),C6:C65="直攻","")-3,)</f>
        <v>13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1</v>
      </c>
      <c r="L124" s="32">
        <f ca="1">IF(OR(J124="52度",J124="56度"),"",H124)</f>
        <v>93</v>
      </c>
      <c r="M124" s="32">
        <f ca="1">VLOOKUP(TRUE,K124:L128,2,0)</f>
        <v>93</v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1</v>
      </c>
      <c r="D126" s="32">
        <f ca="1">COUNTIFS(M124,"&gt;75",M124,"&lt;=100")</f>
        <v>1</v>
      </c>
      <c r="E126" s="32">
        <f ca="1">IF(D126=0,0,F7)</f>
        <v>66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4</v>
      </c>
      <c r="C134" s="32">
        <f>IF(C2=4,1,0)</f>
        <v>1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  <dataValidation type="list" allowBlank="1" showErrorMessage="1" sqref="C42:D42 C48:D48 C54:D54 C24:D24 C30:D30 C60:D60 C36:D36 C6:D6 C12:D12 C18:D18">
      <formula1>"1号木,3号木,球道木,6铁,7铁,8铁,9铁,P杆,52度,56度"</formula1>
    </dataValidation>
  </dataValidations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topLeftCell="A89" zoomScale="95" zoomScaleNormal="95" workbookViewId="0">
      <selection activeCell="F10" sqref="F10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5</v>
      </c>
      <c r="D2" s="12" t="s">
        <v>1</v>
      </c>
    </row>
    <row r="3" spans="2:7" ht="16.5" customHeight="1">
      <c r="B3" s="10" t="s">
        <v>2</v>
      </c>
      <c r="C3" s="11">
        <v>6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169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478</v>
      </c>
      <c r="D7" s="20" t="s">
        <v>8</v>
      </c>
      <c r="E7" s="10" t="s">
        <v>7</v>
      </c>
      <c r="F7" s="5">
        <v>15</v>
      </c>
      <c r="G7" s="20" t="s">
        <v>9</v>
      </c>
    </row>
    <row r="8" spans="2:7" ht="16.5" customHeight="1">
      <c r="B8" s="22" t="s">
        <v>10</v>
      </c>
      <c r="C8" s="46" t="s">
        <v>170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>
        <v>2</v>
      </c>
      <c r="G9" s="20" t="s">
        <v>9</v>
      </c>
    </row>
    <row r="10" spans="2:7" ht="16.5" customHeight="1">
      <c r="B10" s="22" t="s">
        <v>13</v>
      </c>
      <c r="C10" s="46" t="s">
        <v>172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 t="s">
        <v>178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290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179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172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 t="s">
        <v>173</v>
      </c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>
        <v>110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 t="s">
        <v>179</v>
      </c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 t="s">
        <v>171</v>
      </c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 t="s">
        <v>174</v>
      </c>
      <c r="D22" s="47"/>
      <c r="K22" s="27"/>
    </row>
    <row r="23" spans="2:11" ht="16.5" customHeight="1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 t="s">
        <v>175</v>
      </c>
      <c r="D24" s="47"/>
    </row>
    <row r="25" spans="2:11" ht="16.5" customHeight="1">
      <c r="B25" s="10" t="s">
        <v>7</v>
      </c>
      <c r="C25" s="19">
        <v>49</v>
      </c>
      <c r="D25" s="20" t="s">
        <v>8</v>
      </c>
    </row>
    <row r="26" spans="2:11" ht="16.5" customHeight="1">
      <c r="B26" s="22" t="s">
        <v>10</v>
      </c>
      <c r="C26" s="46" t="s">
        <v>179</v>
      </c>
      <c r="D26" s="47"/>
    </row>
    <row r="27" spans="2:11" ht="16.5" customHeight="1">
      <c r="B27" s="22" t="s">
        <v>12</v>
      </c>
      <c r="C27" s="46" t="s">
        <v>171</v>
      </c>
      <c r="D27" s="47"/>
    </row>
    <row r="28" spans="2:11" ht="16.5" customHeight="1">
      <c r="B28" s="22" t="s">
        <v>13</v>
      </c>
      <c r="C28" s="46" t="s">
        <v>174</v>
      </c>
      <c r="D28" s="47"/>
    </row>
    <row r="29" spans="2:11" ht="16.5" customHeight="1">
      <c r="B29" s="10" t="s">
        <v>15</v>
      </c>
      <c r="C29" s="11">
        <v>0</v>
      </c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6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0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4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2</v>
      </c>
      <c r="D86" s="32"/>
      <c r="E86" s="32" t="s">
        <v>46</v>
      </c>
      <c r="F86" s="32">
        <f>IF(C86=1,1,0)</f>
        <v>0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0</v>
      </c>
      <c r="D87" s="32"/>
      <c r="E87" s="32" t="s">
        <v>87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0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188</v>
      </c>
      <c r="D89" s="32"/>
      <c r="E89" s="32">
        <f>IF(C6="1号木",C89,0)</f>
        <v>188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0</v>
      </c>
      <c r="K89" s="32" t="b">
        <f>IF(C8="偏左",TRUE,FALSE)</f>
        <v>0</v>
      </c>
      <c r="L89" s="32" t="b">
        <f>IF(C8="偏右",TRUE,FALSE)</f>
        <v>1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0</v>
      </c>
      <c r="K90" s="32">
        <f>IF(F90=1,K89+0,0)</f>
        <v>0</v>
      </c>
      <c r="L90" s="32">
        <f>IF(F90=1,L89+0,0)</f>
        <v>1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0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1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2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1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13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2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49</v>
      </c>
      <c r="D117" s="32" t="str" cm="1">
        <f t="array" aca="1" ref="D117" ca="1">IFERROR(INDIRECT("C"&amp;(C84*6)),0)</f>
        <v>56度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1</v>
      </c>
      <c r="D122" s="32" cm="1">
        <f t="array" aca="1" ref="D122" ca="1">IFERROR(IF(INDIRECT("C"&amp;(C84*6))="52度",C122,0) + IF(INDIRECT("C"&amp;(C84*6))="56度",C122,0),0)</f>
        <v>1</v>
      </c>
      <c r="E122" s="32">
        <f>IF(AND(C82=TRUE, C87=FALSE),D122,0)</f>
        <v>0</v>
      </c>
      <c r="F122" s="32">
        <f ca="1">IF(D122=0,0,F7)</f>
        <v>15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61</v>
      </c>
      <c r="I124" s="32" cm="1">
        <f t="array" ref="I124:I125">IFERROR(_xlfn._xlws.FILTER(ROW(C6:C65),C6:C65="直攻","")-3,)</f>
        <v>19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0</v>
      </c>
      <c r="L124" s="32">
        <f ca="1">IF(OR(J124="52度",J124="56度"),"",H124)</f>
        <v>61</v>
      </c>
      <c r="M124" s="32" t="str">
        <f ca="1">VLOOKUP(TRUE,K124:L128,2,0)</f>
        <v/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1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cm="1">
        <f t="array" aca="1" ref="H125" ca="1">IFERROR(INDIRECT("C"&amp;I125)-IF(INDIRECT("C"&amp;(I125+6))=0,ROUND(F7/3,0),INDIRECT("C"&amp;(I125+6))),"")</f>
        <v>44</v>
      </c>
      <c r="I125" s="32">
        <v>25</v>
      </c>
      <c r="J125" s="32" t="str" cm="1">
        <f t="array" aca="1" ref="J125" ca="1">IFERROR(INDIRECT("C"&amp;I125-1),"")</f>
        <v>56度</v>
      </c>
      <c r="K125" s="32" t="b" cm="1">
        <f t="array" aca="1" ref="K125" ca="1">IF(INDIRECT("C"&amp;I125+6)&gt;0,FALSE,TRUE)</f>
        <v>1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0</v>
      </c>
      <c r="C134" s="32">
        <f>IF(C2=4,1,0)</f>
        <v>0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6</v>
      </c>
      <c r="C135" s="32">
        <f>IF(C2=5,1,0)</f>
        <v>1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0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1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topLeftCell="A88" zoomScale="82" zoomScaleNormal="82" workbookViewId="0">
      <selection activeCell="F8" sqref="F8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3</v>
      </c>
      <c r="D2" s="12" t="s">
        <v>1</v>
      </c>
    </row>
    <row r="3" spans="2:7" ht="16.5" customHeight="1">
      <c r="B3" s="10" t="s">
        <v>2</v>
      </c>
      <c r="C3" s="11">
        <v>3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173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126</v>
      </c>
      <c r="D7" s="20" t="s">
        <v>8</v>
      </c>
      <c r="E7" s="10" t="s">
        <v>7</v>
      </c>
      <c r="F7" s="5">
        <v>6</v>
      </c>
      <c r="G7" s="20" t="s">
        <v>9</v>
      </c>
    </row>
    <row r="8" spans="2:7" ht="16.5" customHeight="1">
      <c r="B8" s="22" t="s">
        <v>10</v>
      </c>
      <c r="C8" s="46" t="s">
        <v>179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/>
      <c r="G9" s="20" t="s">
        <v>9</v>
      </c>
    </row>
    <row r="10" spans="2:7" ht="16.5" customHeight="1">
      <c r="B10" s="22" t="s">
        <v>13</v>
      </c>
      <c r="C10" s="46" t="s">
        <v>174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 t="s">
        <v>175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10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179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174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/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/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/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/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/>
      <c r="D22" s="47"/>
      <c r="K22" s="27"/>
    </row>
    <row r="23" spans="2:11" ht="16.5" customHeight="1">
      <c r="B23" s="10" t="s">
        <v>15</v>
      </c>
      <c r="C23" s="11"/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3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2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1</v>
      </c>
      <c r="D86" s="32"/>
      <c r="E86" s="32" t="s">
        <v>46</v>
      </c>
      <c r="F86" s="32">
        <f>IF(C86=1,1,0)</f>
        <v>1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0</v>
      </c>
      <c r="D87" s="32"/>
      <c r="E87" s="32" t="s">
        <v>87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1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116</v>
      </c>
      <c r="D89" s="32"/>
      <c r="E89" s="32">
        <f>IF(C6="1号木",C89,0)</f>
        <v>0</v>
      </c>
      <c r="F89" s="32">
        <f>IF(C6="1号木",1,0)</f>
        <v>0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>
        <f>IF(C6="1号木",C90,0)</f>
        <v>0</v>
      </c>
      <c r="F90" s="32">
        <f>IF(C6="1号木",1,0)</f>
        <v>0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0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0</v>
      </c>
      <c r="D93" s="32">
        <f ca="1">COUNTIF(C98,"&lt;=3")</f>
        <v>0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1</v>
      </c>
      <c r="D94" s="32">
        <f ca="1">COUNTIFS(C98,"&gt;3",C98,"&lt;=9")</f>
        <v>1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6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6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0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10</v>
      </c>
      <c r="D117" s="32" t="str" cm="1">
        <f t="array" aca="1" ref="D117" ca="1">IFERROR(INDIRECT("C"&amp;(C84*6)),0)</f>
        <v>56度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1</v>
      </c>
      <c r="D118" s="32" cm="1">
        <f t="array" aca="1" ref="D118" ca="1">IFERROR(IF(INDIRECT("C"&amp;(C84*6))="52度",C118,0) + IF(INDIRECT("C"&amp;(C84*6))="56度",C118,0),0)</f>
        <v>1</v>
      </c>
      <c r="E118" s="32">
        <f ca="1">IF(AND(C82=TRUE, C87=FALSE),D118,0)</f>
        <v>1</v>
      </c>
      <c r="F118" s="32">
        <f ca="1">IF(D118=0,0,F7)</f>
        <v>6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 ca="1"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 ca="1"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 ca="1"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 ca="1"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116</v>
      </c>
      <c r="I124" s="32" cm="1">
        <f t="array" ref="I124:I125">IFERROR(_xlfn._xlws.FILTER(ROW(C6:C65),C6:C65="直攻","")-3,)</f>
        <v>7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0</v>
      </c>
      <c r="L124" s="32">
        <f ca="1">IF(OR(J124="52度",J124="56度"),"",H124)</f>
        <v>116</v>
      </c>
      <c r="M124" s="32" t="str">
        <f ca="1">VLOOKUP(TRUE,K124:L128,2,0)</f>
        <v/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cm="1">
        <f t="array" aca="1" ref="H125" ca="1">IFERROR(INDIRECT("C"&amp;I125)-IF(INDIRECT("C"&amp;(I125+6))=0,ROUND(F7/3,0),INDIRECT("C"&amp;(I125+6))),"")</f>
        <v>8</v>
      </c>
      <c r="I125" s="32">
        <v>13</v>
      </c>
      <c r="J125" s="32" t="str" cm="1">
        <f t="array" aca="1" ref="J125" ca="1">IFERROR(INDIRECT("C"&amp;I125-1),"")</f>
        <v>56度</v>
      </c>
      <c r="K125" s="32" t="b" cm="1">
        <f t="array" aca="1" ref="K125" ca="1">IF(INDIRECT("C"&amp;I125+6)&gt;0,FALSE,TRUE)</f>
        <v>1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1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3</v>
      </c>
      <c r="C133" s="32">
        <f>IF(C2=3,1,0)</f>
        <v>1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0</v>
      </c>
      <c r="C134" s="32">
        <f>IF(C2=4,1,0)</f>
        <v>0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topLeftCell="A91" zoomScale="91" zoomScaleNormal="91" workbookViewId="0">
      <selection activeCell="F10" sqref="F10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4</v>
      </c>
      <c r="D2" s="12" t="s">
        <v>1</v>
      </c>
    </row>
    <row r="3" spans="2:7" ht="16.5" customHeight="1">
      <c r="B3" s="10" t="s">
        <v>2</v>
      </c>
      <c r="C3" s="11">
        <v>4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169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298</v>
      </c>
      <c r="D7" s="20" t="s">
        <v>8</v>
      </c>
      <c r="E7" s="10" t="s">
        <v>7</v>
      </c>
      <c r="F7" s="5">
        <v>27</v>
      </c>
      <c r="G7" s="20" t="s">
        <v>9</v>
      </c>
    </row>
    <row r="8" spans="2:7" ht="16.5" customHeight="1">
      <c r="B8" s="22" t="s">
        <v>10</v>
      </c>
      <c r="C8" s="46" t="s">
        <v>179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>
        <v>4</v>
      </c>
      <c r="G9" s="20" t="s">
        <v>9</v>
      </c>
    </row>
    <row r="10" spans="2:7" ht="16.5" customHeight="1">
      <c r="B10" s="22" t="s">
        <v>13</v>
      </c>
      <c r="C10" s="46" t="s">
        <v>172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 t="s">
        <v>173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103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179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174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/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/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/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/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/>
      <c r="D22" s="47"/>
      <c r="K22" s="27"/>
    </row>
    <row r="23" spans="2:11" ht="16.5" customHeight="1">
      <c r="B23" s="10" t="s">
        <v>15</v>
      </c>
      <c r="C23" s="11"/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4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2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0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2</v>
      </c>
      <c r="D86" s="32"/>
      <c r="E86" s="32" t="s">
        <v>46</v>
      </c>
      <c r="F86" s="32">
        <f>IF(C86=1,1,0)</f>
        <v>0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1</v>
      </c>
      <c r="D87" s="32"/>
      <c r="E87" s="32" t="s">
        <v>87</v>
      </c>
      <c r="F87" s="32">
        <f>IF(C87,C86,0)</f>
        <v>2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0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195</v>
      </c>
      <c r="D89" s="32"/>
      <c r="E89" s="32">
        <f>IF(C6="1号木",C89,0)</f>
        <v>195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0</v>
      </c>
      <c r="D93" s="32">
        <f ca="1">COUNTIF(C98,"&lt;=3")</f>
        <v>0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1</v>
      </c>
      <c r="D94" s="32">
        <f ca="1">COUNTIFS(C98,"&gt;3",C98,"&lt;=9")</f>
        <v>1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1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4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23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1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4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103</v>
      </c>
      <c r="D117" s="32" t="str" cm="1">
        <f t="array" aca="1" ref="D117" ca="1">IFERROR(INDIRECT("C"&amp;(C84*6)),0)</f>
        <v>7铁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94</v>
      </c>
      <c r="I124" s="32" cm="1">
        <f t="array" ref="I124">IFERROR(_xlfn._xlws.FILTER(ROW(C6:C65),C6:C65="直攻","")-3,)</f>
        <v>13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1</v>
      </c>
      <c r="L124" s="32">
        <f ca="1">IF(OR(J124="52度",J124="56度"),"",H124)</f>
        <v>94</v>
      </c>
      <c r="M124" s="32">
        <f ca="1">VLOOKUP(TRUE,K124:L128,2,0)</f>
        <v>94</v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1</v>
      </c>
      <c r="D126" s="32">
        <f ca="1">COUNTIFS(M124,"&gt;75",M124,"&lt;=100")</f>
        <v>1</v>
      </c>
      <c r="E126" s="32">
        <f ca="1">IF(D126=0,0,F7)</f>
        <v>27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4</v>
      </c>
      <c r="C134" s="32">
        <f>IF(C2=4,1,0)</f>
        <v>1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topLeftCell="A88" zoomScale="82" zoomScaleNormal="82" workbookViewId="0">
      <selection activeCell="F10" sqref="F10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3</v>
      </c>
      <c r="D2" s="12" t="s">
        <v>1</v>
      </c>
    </row>
    <row r="3" spans="2:7" ht="16.5" customHeight="1">
      <c r="B3" s="10" t="s">
        <v>2</v>
      </c>
      <c r="C3" s="11">
        <v>4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173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144</v>
      </c>
      <c r="D7" s="20" t="s">
        <v>8</v>
      </c>
      <c r="E7" s="10" t="s">
        <v>7</v>
      </c>
      <c r="F7" s="5">
        <v>18</v>
      </c>
      <c r="G7" s="20" t="s">
        <v>9</v>
      </c>
    </row>
    <row r="8" spans="2:7" ht="16.5" customHeight="1">
      <c r="B8" s="22" t="s">
        <v>10</v>
      </c>
      <c r="C8" s="46" t="s">
        <v>180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>
        <v>2</v>
      </c>
      <c r="G9" s="20" t="s">
        <v>9</v>
      </c>
    </row>
    <row r="10" spans="2:7" ht="16.5" customHeight="1">
      <c r="B10" s="22" t="s">
        <v>13</v>
      </c>
      <c r="C10" s="46" t="s">
        <v>174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 t="s">
        <v>175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31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179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174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/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/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/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/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/>
      <c r="D22" s="47"/>
      <c r="K22" s="27"/>
    </row>
    <row r="23" spans="2:11" ht="16.5" customHeight="1">
      <c r="B23" s="10" t="s">
        <v>15</v>
      </c>
      <c r="C23" s="11"/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4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0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2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2</v>
      </c>
      <c r="D86" s="32"/>
      <c r="E86" s="32" t="s">
        <v>46</v>
      </c>
      <c r="F86" s="32">
        <f>IF(C86=1,1,0)</f>
        <v>0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0</v>
      </c>
      <c r="D87" s="32"/>
      <c r="E87" s="32" t="s">
        <v>87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0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113</v>
      </c>
      <c r="D89" s="32"/>
      <c r="E89" s="32">
        <f>IF(C6="1号木",C89,0)</f>
        <v>0</v>
      </c>
      <c r="F89" s="32">
        <f>IF(C6="1号木",1,0)</f>
        <v>0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0</v>
      </c>
      <c r="K89" s="32" t="b">
        <f>IF(C8="偏左",TRUE,FALSE)</f>
        <v>1</v>
      </c>
      <c r="L89" s="32" t="b">
        <f>IF(C8="偏右",TRUE,FALSE)</f>
        <v>0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>
        <f>IF(C6="1号木",C90,0)</f>
        <v>0</v>
      </c>
      <c r="F90" s="32">
        <f>IF(C6="1号木",1,0)</f>
        <v>0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0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0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1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2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16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1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2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31</v>
      </c>
      <c r="D117" s="32" t="str" cm="1">
        <f t="array" aca="1" ref="D117" ca="1">IFERROR(INDIRECT("C"&amp;(C84*6)),0)</f>
        <v>56度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1</v>
      </c>
      <c r="D121" s="32" cm="1">
        <f t="array" aca="1" ref="D121" ca="1">IFERROR(IF(INDIRECT("C"&amp;(C84*6))="52度",C121,0) + IF(INDIRECT("C"&amp;(C84*6))="56度",C121,0),)</f>
        <v>1</v>
      </c>
      <c r="E121" s="32">
        <f>IF(AND(C82=TRUE, C87=FALSE),D121,0)</f>
        <v>0</v>
      </c>
      <c r="F121" s="32">
        <f ca="1">IF(D121=0,0,F7)</f>
        <v>18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113</v>
      </c>
      <c r="I124" s="32" cm="1">
        <f t="array" ref="I124:I125">IFERROR(_xlfn._xlws.FILTER(ROW(C6:C65),C6:C65="直攻","")-3,)</f>
        <v>7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0</v>
      </c>
      <c r="L124" s="32">
        <f ca="1">IF(OR(J124="52度",J124="56度"),"",H124)</f>
        <v>113</v>
      </c>
      <c r="M124" s="32" t="str">
        <f ca="1">VLOOKUP(TRUE,K124:L128,2,0)</f>
        <v/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cm="1">
        <f t="array" aca="1" ref="H125" ca="1">IFERROR(INDIRECT("C"&amp;I125)-IF(INDIRECT("C"&amp;(I125+6))=0,ROUND(F7/3,0),INDIRECT("C"&amp;(I125+6))),"")</f>
        <v>25</v>
      </c>
      <c r="I125" s="32">
        <v>13</v>
      </c>
      <c r="J125" s="32" t="str" cm="1">
        <f t="array" aca="1" ref="J125" ca="1">IFERROR(INDIRECT("C"&amp;I125-1),"")</f>
        <v>56度</v>
      </c>
      <c r="K125" s="32" t="b" cm="1">
        <f t="array" aca="1" ref="K125" ca="1">IF(INDIRECT("C"&amp;I125+6)&gt;0,FALSE,TRUE)</f>
        <v>1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1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4</v>
      </c>
      <c r="C133" s="32">
        <f>IF(C2=3,1,0)</f>
        <v>1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0</v>
      </c>
      <c r="C134" s="32">
        <f>IF(C2=4,1,0)</f>
        <v>0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0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1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topLeftCell="A82" zoomScale="81" zoomScaleNormal="81" workbookViewId="0">
      <selection activeCell="F10" sqref="F10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4</v>
      </c>
      <c r="D2" s="12" t="s">
        <v>1</v>
      </c>
    </row>
    <row r="3" spans="2:7" ht="16.5" customHeight="1">
      <c r="B3" s="10" t="s">
        <v>2</v>
      </c>
      <c r="C3" s="11">
        <v>5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169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383</v>
      </c>
      <c r="D7" s="20" t="s">
        <v>8</v>
      </c>
      <c r="E7" s="10" t="s">
        <v>7</v>
      </c>
      <c r="F7" s="5">
        <v>21</v>
      </c>
      <c r="G7" s="20" t="s">
        <v>9</v>
      </c>
    </row>
    <row r="8" spans="2:7" ht="16.5" customHeight="1">
      <c r="B8" s="22" t="s">
        <v>10</v>
      </c>
      <c r="C8" s="46" t="s">
        <v>179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>
        <v>2</v>
      </c>
      <c r="G9" s="20" t="s">
        <v>9</v>
      </c>
    </row>
    <row r="10" spans="2:7" ht="16.5" customHeight="1">
      <c r="B10" s="22" t="s">
        <v>13</v>
      </c>
      <c r="C10" s="46" t="s">
        <v>172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 t="s">
        <v>178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180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179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174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 t="s">
        <v>175</v>
      </c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>
        <v>25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 t="s">
        <v>179</v>
      </c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 t="s">
        <v>176</v>
      </c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 t="s">
        <v>174</v>
      </c>
      <c r="D22" s="47"/>
      <c r="K22" s="27"/>
    </row>
    <row r="23" spans="2:11" ht="16.5" customHeight="1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5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0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3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2</v>
      </c>
      <c r="D86" s="32"/>
      <c r="E86" s="32" t="s">
        <v>46</v>
      </c>
      <c r="F86" s="32">
        <f>IF(C86=1,1,0)</f>
        <v>0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0</v>
      </c>
      <c r="D87" s="32"/>
      <c r="E87" s="32" t="s">
        <v>87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0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203</v>
      </c>
      <c r="D89" s="32"/>
      <c r="E89" s="32">
        <f>IF(C6="1号木",C89,0)</f>
        <v>203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0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1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2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19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1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2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25</v>
      </c>
      <c r="D117" s="32" t="str" cm="1">
        <f t="array" aca="1" ref="D117" ca="1">IFERROR(INDIRECT("C"&amp;(C84*6)),0)</f>
        <v>56度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1</v>
      </c>
      <c r="D120" s="32" cm="1">
        <f t="array" aca="1" ref="D120" ca="1">IFERROR(IF(INDIRECT("C"&amp;(C84*6))="52度",C120,0) + IF(INDIRECT("C"&amp;(C84*6))="56度",C120,0),0)</f>
        <v>1</v>
      </c>
      <c r="E120" s="32">
        <f>IF(AND(C82=TRUE, C87=FALSE),D120,0)</f>
        <v>0</v>
      </c>
      <c r="F120" s="32">
        <f ca="1">IF(D120=0,0,F7)</f>
        <v>21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155</v>
      </c>
      <c r="I124" s="32" cm="1">
        <f t="array" ref="I124:I125">IFERROR(_xlfn._xlws.FILTER(ROW(C6:C65),C6:C65="直攻","")-3,)</f>
        <v>13</v>
      </c>
      <c r="J124" s="32" t="str" cm="1">
        <f t="array" aca="1" ref="J124" ca="1">IFERROR(INDIRECT("C"&amp;I124-1),"")</f>
        <v>球道木</v>
      </c>
      <c r="K124" s="32" t="b" cm="1">
        <f t="array" aca="1" ref="K124" ca="1">IF(INDIRECT("C"&amp;I124+6)&gt;0,FALSE,TRUE)</f>
        <v>0</v>
      </c>
      <c r="L124" s="32">
        <f ca="1">IF(OR(J124="52度",J124="56度"),"",H124)</f>
        <v>155</v>
      </c>
      <c r="M124" s="32" t="str">
        <f ca="1">VLOOKUP(TRUE,K124:L128,2,0)</f>
        <v/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cm="1">
        <f t="array" aca="1" ref="H125" ca="1">IFERROR(INDIRECT("C"&amp;I125)-IF(INDIRECT("C"&amp;(I125+6))=0,ROUND(F7/3,0),INDIRECT("C"&amp;(I125+6))),"")</f>
        <v>18</v>
      </c>
      <c r="I125" s="32">
        <v>19</v>
      </c>
      <c r="J125" s="32" t="str" cm="1">
        <f t="array" aca="1" ref="J125" ca="1">IFERROR(INDIRECT("C"&amp;I125-1),"")</f>
        <v>56度</v>
      </c>
      <c r="K125" s="32" t="b" cm="1">
        <f t="array" aca="1" ref="K125" ca="1">IF(INDIRECT("C"&amp;I125+6)&gt;0,FALSE,TRUE)</f>
        <v>1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1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5</v>
      </c>
      <c r="C134" s="32">
        <f>IF(C2=4,1,0)</f>
        <v>1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0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1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topLeftCell="A76" zoomScale="82" zoomScaleNormal="82" workbookViewId="0">
      <selection activeCell="C24" sqref="C24:D24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4</v>
      </c>
      <c r="D2" s="12" t="s">
        <v>1</v>
      </c>
    </row>
    <row r="3" spans="2:7" ht="16.5" customHeight="1">
      <c r="B3" s="10" t="s">
        <v>2</v>
      </c>
      <c r="C3" s="11">
        <v>5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169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373</v>
      </c>
      <c r="D7" s="20" t="s">
        <v>8</v>
      </c>
      <c r="E7" s="10" t="s">
        <v>7</v>
      </c>
      <c r="F7" s="5">
        <v>24</v>
      </c>
      <c r="G7" s="20" t="s">
        <v>9</v>
      </c>
    </row>
    <row r="8" spans="2:7" ht="16.5" customHeight="1">
      <c r="B8" s="22" t="s">
        <v>10</v>
      </c>
      <c r="C8" s="46" t="s">
        <v>179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>
        <v>5</v>
      </c>
      <c r="G9" s="20" t="s">
        <v>9</v>
      </c>
    </row>
    <row r="10" spans="2:7" ht="16.5" customHeight="1">
      <c r="B10" s="22" t="s">
        <v>13</v>
      </c>
      <c r="C10" s="46" t="s">
        <v>172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 t="s">
        <v>178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170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179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174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 t="s">
        <v>175</v>
      </c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>
        <v>50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 t="s">
        <v>179</v>
      </c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 t="s">
        <v>171</v>
      </c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 t="s">
        <v>174</v>
      </c>
      <c r="D22" s="47"/>
      <c r="K22" s="27"/>
    </row>
    <row r="23" spans="2:11" ht="16.5" customHeight="1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5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0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3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2</v>
      </c>
      <c r="D86" s="32"/>
      <c r="E86" s="32" t="s">
        <v>46</v>
      </c>
      <c r="F86" s="32">
        <f>IF(C86=1,1,0)</f>
        <v>0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0</v>
      </c>
      <c r="D87" s="32"/>
      <c r="E87" s="32" t="s">
        <v>87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0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203</v>
      </c>
      <c r="D89" s="32"/>
      <c r="E89" s="32">
        <f>IF(C6="1号木",C89,0)</f>
        <v>203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0</v>
      </c>
      <c r="D93" s="32">
        <f ca="1">COUNTIF(C98,"&lt;=3")</f>
        <v>0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1</v>
      </c>
      <c r="D94" s="32">
        <f ca="1">COUNTIFS(C98,"&gt;3",C98,"&lt;=9")</f>
        <v>1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1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5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19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1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5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50</v>
      </c>
      <c r="D117" s="32" t="str" cm="1">
        <f t="array" aca="1" ref="D117" ca="1">IFERROR(INDIRECT("C"&amp;(C84*6)),0)</f>
        <v>56度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1</v>
      </c>
      <c r="D122" s="32" cm="1">
        <f t="array" aca="1" ref="D122" ca="1">IFERROR(IF(INDIRECT("C"&amp;(C84*6))="52度",C122,0) + IF(INDIRECT("C"&amp;(C84*6))="56度",C122,0),0)</f>
        <v>1</v>
      </c>
      <c r="E122" s="32">
        <f>IF(AND(C82=TRUE, C87=FALSE),D122,0)</f>
        <v>0</v>
      </c>
      <c r="F122" s="32">
        <f ca="1">IF(D122=0,0,F7)</f>
        <v>24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120</v>
      </c>
      <c r="I124" s="32" cm="1">
        <f t="array" ref="I124:I125">IFERROR(_xlfn._xlws.FILTER(ROW(C6:C65),C6:C65="直攻","")-3,)</f>
        <v>13</v>
      </c>
      <c r="J124" s="32" t="str" cm="1">
        <f t="array" aca="1" ref="J124" ca="1">IFERROR(INDIRECT("C"&amp;I124-1),"")</f>
        <v>球道木</v>
      </c>
      <c r="K124" s="32" t="b" cm="1">
        <f t="array" aca="1" ref="K124" ca="1">IF(INDIRECT("C"&amp;I124+6)&gt;0,FALSE,TRUE)</f>
        <v>0</v>
      </c>
      <c r="L124" s="32">
        <f ca="1">IF(OR(J124="52度",J124="56度"),"",H124)</f>
        <v>120</v>
      </c>
      <c r="M124" s="32" t="str">
        <f ca="1">VLOOKUP(TRUE,K124:L128,2,0)</f>
        <v/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cm="1">
        <f t="array" aca="1" ref="H125" ca="1">IFERROR(INDIRECT("C"&amp;I125)-IF(INDIRECT("C"&amp;(I125+6))=0,ROUND(F7/3,0),INDIRECT("C"&amp;(I125+6))),"")</f>
        <v>42</v>
      </c>
      <c r="I125" s="32">
        <v>19</v>
      </c>
      <c r="J125" s="32" t="str" cm="1">
        <f t="array" aca="1" ref="J125" ca="1">IFERROR(INDIRECT("C"&amp;I125-1),"")</f>
        <v>56度</v>
      </c>
      <c r="K125" s="32" t="b" cm="1">
        <f t="array" aca="1" ref="K125" ca="1">IF(INDIRECT("C"&amp;I125+6)&gt;0,FALSE,TRUE)</f>
        <v>1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1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5</v>
      </c>
      <c r="C134" s="32">
        <f>IF(C2=4,1,0)</f>
        <v>1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0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1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topLeftCell="A91" zoomScale="70" zoomScaleNormal="70" workbookViewId="0">
      <selection activeCell="F8" sqref="F8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5</v>
      </c>
      <c r="D2" s="12" t="s">
        <v>1</v>
      </c>
    </row>
    <row r="3" spans="2:7" ht="16.5" customHeight="1">
      <c r="B3" s="10" t="s">
        <v>2</v>
      </c>
      <c r="C3" s="11">
        <v>4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169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473</v>
      </c>
      <c r="D7" s="20" t="s">
        <v>8</v>
      </c>
      <c r="E7" s="10" t="s">
        <v>7</v>
      </c>
      <c r="F7" s="5">
        <v>15</v>
      </c>
      <c r="G7" s="20" t="s">
        <v>9</v>
      </c>
    </row>
    <row r="8" spans="2:7" ht="16.5" customHeight="1">
      <c r="B8" s="22" t="s">
        <v>10</v>
      </c>
      <c r="C8" s="46" t="s">
        <v>179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/>
      <c r="G9" s="20" t="s">
        <v>9</v>
      </c>
    </row>
    <row r="10" spans="2:7" ht="16.5" customHeight="1">
      <c r="B10" s="22" t="s">
        <v>13</v>
      </c>
      <c r="C10" s="46" t="s">
        <v>172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 t="s">
        <v>178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300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179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172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 t="s">
        <v>175</v>
      </c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>
        <v>50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 t="s">
        <v>179</v>
      </c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 t="s">
        <v>171</v>
      </c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 t="s">
        <v>174</v>
      </c>
      <c r="D22" s="47"/>
      <c r="K22" s="27"/>
    </row>
    <row r="23" spans="2:11" ht="16.5" customHeight="1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4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3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1</v>
      </c>
      <c r="D86" s="32"/>
      <c r="E86" s="32" t="s">
        <v>46</v>
      </c>
      <c r="F86" s="32">
        <f>IF(C86=1,1,0)</f>
        <v>1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1</v>
      </c>
      <c r="D87" s="32"/>
      <c r="E87" s="32" t="s">
        <v>87</v>
      </c>
      <c r="F87" s="32">
        <f>IF(C87,C86,0)</f>
        <v>1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1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173</v>
      </c>
      <c r="D89" s="32"/>
      <c r="E89" s="32">
        <f>IF(C6="1号木",C89,0)</f>
        <v>173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0</v>
      </c>
      <c r="D93" s="32">
        <f ca="1">COUNTIF(C98,"&lt;=3")</f>
        <v>0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0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1</v>
      </c>
      <c r="D95" s="32">
        <f ca="1">COUNTIFS(C98,"&gt;9",C98,"&lt;=15")</f>
        <v>1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15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1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15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0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50</v>
      </c>
      <c r="D117" s="32" t="str" cm="1">
        <f t="array" aca="1" ref="D117" ca="1">IFERROR(INDIRECT("C"&amp;(C84*6)),0)</f>
        <v>56度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1</v>
      </c>
      <c r="D122" s="32" cm="1">
        <f t="array" aca="1" ref="D122" ca="1">IFERROR(IF(INDIRECT("C"&amp;(C84*6))="52度",C122,0) + IF(INDIRECT("C"&amp;(C84*6))="56度",C122,0),0)</f>
        <v>1</v>
      </c>
      <c r="E122" s="32">
        <f>IF(AND(C82=TRUE, C87=FALSE),D122,0)</f>
        <v>0</v>
      </c>
      <c r="F122" s="32">
        <f ca="1">IF(D122=0,0,F7)</f>
        <v>15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45</v>
      </c>
      <c r="I124" s="32" cm="1">
        <f t="array" ref="I124">IFERROR(_xlfn._xlws.FILTER(ROW(C6:C65),C6:C65="直攻","")-3,)</f>
        <v>19</v>
      </c>
      <c r="J124" s="32" t="str" cm="1">
        <f t="array" aca="1" ref="J124" ca="1">IFERROR(INDIRECT("C"&amp;I124-1),"")</f>
        <v>56度</v>
      </c>
      <c r="K124" s="32" t="b" cm="1">
        <f t="array" aca="1" ref="K124" ca="1">IF(INDIRECT("C"&amp;I124+6)&gt;0,FALSE,TRUE)</f>
        <v>1</v>
      </c>
      <c r="L124" s="32" t="str">
        <f ca="1">IF(OR(J124="52度",J124="56度"),"",H124)</f>
        <v/>
      </c>
      <c r="M124" s="32" t="str">
        <f ca="1">VLOOKUP(TRUE,K124:L128,2,0)</f>
        <v/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0</v>
      </c>
      <c r="C134" s="32">
        <f>IF(C2=4,1,0)</f>
        <v>0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4</v>
      </c>
      <c r="C135" s="32">
        <f>IF(C2=5,1,0)</f>
        <v>1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1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0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topLeftCell="A106" zoomScale="70" zoomScaleNormal="70" workbookViewId="0">
      <selection activeCell="F10" sqref="F10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4</v>
      </c>
      <c r="D2" s="12" t="s">
        <v>1</v>
      </c>
    </row>
    <row r="3" spans="2:7" ht="16.5" customHeight="1">
      <c r="B3" s="10" t="s">
        <v>2</v>
      </c>
      <c r="C3" s="11">
        <v>4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169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287</v>
      </c>
      <c r="D7" s="20" t="s">
        <v>8</v>
      </c>
      <c r="E7" s="10" t="s">
        <v>7</v>
      </c>
      <c r="F7" s="5">
        <v>15</v>
      </c>
      <c r="G7" s="20" t="s">
        <v>9</v>
      </c>
    </row>
    <row r="8" spans="2:7" ht="16.5" customHeight="1">
      <c r="B8" s="22" t="s">
        <v>10</v>
      </c>
      <c r="C8" s="46" t="s">
        <v>170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>
        <v>2</v>
      </c>
      <c r="G9" s="20" t="s">
        <v>9</v>
      </c>
    </row>
    <row r="10" spans="2:7" ht="16.5" customHeight="1">
      <c r="B10" s="22" t="s">
        <v>13</v>
      </c>
      <c r="C10" s="46" t="s">
        <v>172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 t="s">
        <v>173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100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179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174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/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/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/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/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/>
      <c r="D22" s="47"/>
      <c r="K22" s="27"/>
    </row>
    <row r="23" spans="2:11" ht="16.5" customHeight="1">
      <c r="B23" s="10" t="s">
        <v>15</v>
      </c>
      <c r="C23" s="11"/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4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2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0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2</v>
      </c>
      <c r="D86" s="32"/>
      <c r="E86" s="32" t="s">
        <v>46</v>
      </c>
      <c r="F86" s="32">
        <f>IF(C86=1,1,0)</f>
        <v>0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1</v>
      </c>
      <c r="D87" s="32"/>
      <c r="E87" s="32" t="s">
        <v>87</v>
      </c>
      <c r="F87" s="32">
        <f>IF(C87,C86,0)</f>
        <v>2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0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187</v>
      </c>
      <c r="D89" s="32"/>
      <c r="E89" s="32">
        <f>IF(C6="1号木",C89,0)</f>
        <v>187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0</v>
      </c>
      <c r="K89" s="32" t="b">
        <f>IF(C8="偏左",TRUE,FALSE)</f>
        <v>0</v>
      </c>
      <c r="L89" s="32" t="b">
        <f>IF(C8="偏右",TRUE,FALSE)</f>
        <v>1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0</v>
      </c>
      <c r="K90" s="32">
        <f>IF(F90=1,K89+0,0)</f>
        <v>0</v>
      </c>
      <c r="L90" s="32">
        <f>IF(F90=1,L89+0,0)</f>
        <v>1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0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1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2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1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13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2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100</v>
      </c>
      <c r="D117" s="32" t="str" cm="1">
        <f t="array" aca="1" ref="D117" ca="1">IFERROR(INDIRECT("C"&amp;(C84*6)),0)</f>
        <v>7铁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95</v>
      </c>
      <c r="I124" s="32" cm="1">
        <f t="array" ref="I124">IFERROR(_xlfn._xlws.FILTER(ROW(C6:C65),C6:C65="直攻","")-3,)</f>
        <v>13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1</v>
      </c>
      <c r="L124" s="32">
        <f ca="1">IF(OR(J124="52度",J124="56度"),"",H124)</f>
        <v>95</v>
      </c>
      <c r="M124" s="32">
        <f ca="1">VLOOKUP(TRUE,K124:L128,2,0)</f>
        <v>95</v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1</v>
      </c>
      <c r="D126" s="32">
        <f ca="1">COUNTIFS(M124,"&gt;75",M124,"&lt;=100")</f>
        <v>1</v>
      </c>
      <c r="E126" s="32">
        <f ca="1">IF(D126=0,0,F7)</f>
        <v>15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4</v>
      </c>
      <c r="C134" s="32">
        <f>IF(C2=4,1,0)</f>
        <v>1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topLeftCell="A91" zoomScale="88" zoomScaleNormal="88" workbookViewId="0">
      <selection activeCell="F8" sqref="F8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4</v>
      </c>
      <c r="D2" s="12" t="s">
        <v>1</v>
      </c>
    </row>
    <row r="3" spans="2:7" ht="16.5" customHeight="1">
      <c r="B3" s="10" t="s">
        <v>2</v>
      </c>
      <c r="C3" s="11">
        <v>4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169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378</v>
      </c>
      <c r="D7" s="20" t="s">
        <v>8</v>
      </c>
      <c r="E7" s="10" t="s">
        <v>7</v>
      </c>
      <c r="F7" s="5">
        <v>6</v>
      </c>
      <c r="G7" s="20" t="s">
        <v>9</v>
      </c>
    </row>
    <row r="8" spans="2:7" ht="16.5" customHeight="1">
      <c r="B8" s="22" t="s">
        <v>10</v>
      </c>
      <c r="C8" s="46" t="s">
        <v>179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/>
      <c r="G9" s="20" t="s">
        <v>9</v>
      </c>
    </row>
    <row r="10" spans="2:7" ht="16.5" customHeight="1">
      <c r="B10" s="22" t="s">
        <v>13</v>
      </c>
      <c r="C10" s="46" t="s">
        <v>172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 t="s">
        <v>178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170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179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174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 t="s">
        <v>175</v>
      </c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>
        <v>8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 t="s">
        <v>179</v>
      </c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 t="s">
        <v>171</v>
      </c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 t="s">
        <v>174</v>
      </c>
      <c r="D22" s="47"/>
      <c r="K22" s="27"/>
    </row>
    <row r="23" spans="2:11" ht="16.5" customHeight="1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4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3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1</v>
      </c>
      <c r="D86" s="32"/>
      <c r="E86" s="32" t="s">
        <v>46</v>
      </c>
      <c r="F86" s="32">
        <f>IF(C86=1,1,0)</f>
        <v>1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0</v>
      </c>
      <c r="D87" s="32"/>
      <c r="E87" s="32" t="s">
        <v>87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1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208</v>
      </c>
      <c r="D89" s="32"/>
      <c r="E89" s="32">
        <f>IF(C6="1号木",C89,0)</f>
        <v>208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0</v>
      </c>
      <c r="D93" s="32">
        <f ca="1">COUNTIF(C98,"&lt;=3")</f>
        <v>0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1</v>
      </c>
      <c r="D94" s="32">
        <f ca="1">COUNTIFS(C98,"&gt;3",C98,"&lt;=9")</f>
        <v>1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6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6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0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8</v>
      </c>
      <c r="D117" s="32" t="str" cm="1">
        <f t="array" aca="1" ref="D117" ca="1">IFERROR(INDIRECT("C"&amp;(C84*6)),0)</f>
        <v>56度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1</v>
      </c>
      <c r="D118" s="32" cm="1">
        <f t="array" aca="1" ref="D118" ca="1">IFERROR(IF(INDIRECT("C"&amp;(C84*6))="52度",C118,0) + IF(INDIRECT("C"&amp;(C84*6))="56度",C118,0),0)</f>
        <v>1</v>
      </c>
      <c r="E118" s="32">
        <f ca="1">IF(AND(C82=TRUE, C87=FALSE),D118,0)</f>
        <v>1</v>
      </c>
      <c r="F118" s="32">
        <f ca="1">IF(D118=0,0,F7)</f>
        <v>6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 ca="1"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 ca="1"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 ca="1"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 ca="1"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162</v>
      </c>
      <c r="I124" s="32" cm="1">
        <f t="array" ref="I124:I125">IFERROR(_xlfn._xlws.FILTER(ROW(C6:C65),C6:C65="直攻","")-3,)</f>
        <v>13</v>
      </c>
      <c r="J124" s="32" t="str" cm="1">
        <f t="array" aca="1" ref="J124" ca="1">IFERROR(INDIRECT("C"&amp;I124-1),"")</f>
        <v>球道木</v>
      </c>
      <c r="K124" s="32" t="b" cm="1">
        <f t="array" aca="1" ref="K124" ca="1">IF(INDIRECT("C"&amp;I124+6)&gt;0,FALSE,TRUE)</f>
        <v>0</v>
      </c>
      <c r="L124" s="32">
        <f ca="1">IF(OR(J124="52度",J124="56度"),"",H124)</f>
        <v>162</v>
      </c>
      <c r="M124" s="32" t="str">
        <f ca="1">VLOOKUP(TRUE,K124:L128,2,0)</f>
        <v/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cm="1">
        <f t="array" aca="1" ref="H125" ca="1">IFERROR(INDIRECT("C"&amp;I125)-IF(INDIRECT("C"&amp;(I125+6))=0,ROUND(F7/3,0),INDIRECT("C"&amp;(I125+6))),"")</f>
        <v>6</v>
      </c>
      <c r="I125" s="32">
        <v>19</v>
      </c>
      <c r="J125" s="32" t="str" cm="1">
        <f t="array" aca="1" ref="J125" ca="1">IFERROR(INDIRECT("C"&amp;I125-1),"")</f>
        <v>56度</v>
      </c>
      <c r="K125" s="32" t="b" cm="1">
        <f t="array" aca="1" ref="K125" ca="1">IF(INDIRECT("C"&amp;I125+6)&gt;0,FALSE,TRUE)</f>
        <v>1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1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4</v>
      </c>
      <c r="C134" s="32">
        <f>IF(C2=4,1,0)</f>
        <v>1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topLeftCell="A76" zoomScale="86" zoomScaleNormal="86" workbookViewId="0">
      <selection activeCell="F10" sqref="F10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4</v>
      </c>
      <c r="D2" s="12" t="s">
        <v>1</v>
      </c>
    </row>
    <row r="3" spans="2:7" ht="16.5" customHeight="1">
      <c r="B3" s="10" t="s">
        <v>2</v>
      </c>
      <c r="C3" s="11">
        <v>5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169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360</v>
      </c>
      <c r="D7" s="20" t="s">
        <v>8</v>
      </c>
      <c r="E7" s="10" t="s">
        <v>7</v>
      </c>
      <c r="F7" s="5">
        <v>15</v>
      </c>
      <c r="G7" s="20" t="s">
        <v>9</v>
      </c>
    </row>
    <row r="8" spans="2:7" ht="16.5" customHeight="1">
      <c r="B8" s="22" t="s">
        <v>10</v>
      </c>
      <c r="C8" s="46" t="s">
        <v>179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>
        <v>2</v>
      </c>
      <c r="G9" s="20" t="s">
        <v>9</v>
      </c>
    </row>
    <row r="10" spans="2:7" ht="16.5" customHeight="1">
      <c r="B10" s="22" t="s">
        <v>13</v>
      </c>
      <c r="C10" s="46" t="s">
        <v>172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 t="s">
        <v>173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153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179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174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 t="s">
        <v>175</v>
      </c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>
        <v>20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 t="s">
        <v>179</v>
      </c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 t="s">
        <v>171</v>
      </c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 t="s">
        <v>174</v>
      </c>
      <c r="D22" s="47"/>
      <c r="K22" s="27"/>
    </row>
    <row r="23" spans="2:11" ht="16.5" customHeight="1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5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0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3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2</v>
      </c>
      <c r="D86" s="32"/>
      <c r="E86" s="32" t="s">
        <v>46</v>
      </c>
      <c r="F86" s="32">
        <f>IF(C86=1,1,0)</f>
        <v>0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0</v>
      </c>
      <c r="D87" s="32"/>
      <c r="E87" s="32" t="s">
        <v>87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0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207</v>
      </c>
      <c r="D89" s="32"/>
      <c r="E89" s="32">
        <f>IF(C6="1号木",C89,0)</f>
        <v>207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0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1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2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1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13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2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20</v>
      </c>
      <c r="D117" s="32" t="str" cm="1">
        <f t="array" aca="1" ref="D117" ca="1">IFERROR(INDIRECT("C"&amp;(C84*6)),0)</f>
        <v>56度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1</v>
      </c>
      <c r="D119" s="32" cm="1">
        <f t="array" aca="1" ref="D119" ca="1">IFERROR(IF(INDIRECT("C"&amp;(C84*6))="52度",C119,0) + IF(INDIRECT("C"&amp;(C84*6))="56度",C119,0),0)</f>
        <v>1</v>
      </c>
      <c r="E119" s="32">
        <f>IF(AND(C82=TRUE, C87=FALSE),D119,0)</f>
        <v>0</v>
      </c>
      <c r="F119" s="32">
        <f t="shared" ref="F119" ca="1" si="0">IF(D119=0,0,F7)</f>
        <v>15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133</v>
      </c>
      <c r="I124" s="32" cm="1">
        <f t="array" ref="I124:I125">IFERROR(_xlfn._xlws.FILTER(ROW(C6:C65),C6:C65="直攻","")-3,)</f>
        <v>13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0</v>
      </c>
      <c r="L124" s="32">
        <f ca="1">IF(OR(J124="52度",J124="56度"),"",H124)</f>
        <v>133</v>
      </c>
      <c r="M124" s="32" t="str">
        <f ca="1">VLOOKUP(TRUE,K124:L128,2,0)</f>
        <v/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cm="1">
        <f t="array" aca="1" ref="H125" ca="1">IFERROR(INDIRECT("C"&amp;I125)-IF(INDIRECT("C"&amp;(I125+6))=0,ROUND(F7/3,0),INDIRECT("C"&amp;(I125+6))),"")</f>
        <v>15</v>
      </c>
      <c r="I125" s="32">
        <v>19</v>
      </c>
      <c r="J125" s="32" t="str" cm="1">
        <f t="array" aca="1" ref="J125" ca="1">IFERROR(INDIRECT("C"&amp;I125-1),"")</f>
        <v>56度</v>
      </c>
      <c r="K125" s="32" t="b" cm="1">
        <f t="array" aca="1" ref="K125" ca="1">IF(INDIRECT("C"&amp;I125+6)&gt;0,FALSE,TRUE)</f>
        <v>1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1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5</v>
      </c>
      <c r="C134" s="32">
        <f>IF(C2=4,1,0)</f>
        <v>1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0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1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topLeftCell="A88" zoomScale="75" zoomScaleNormal="75" workbookViewId="0">
      <selection activeCell="F10" sqref="F10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3</v>
      </c>
      <c r="D2" s="12" t="s">
        <v>1</v>
      </c>
    </row>
    <row r="3" spans="2:7" ht="16.5" customHeight="1">
      <c r="B3" s="10" t="s">
        <v>2</v>
      </c>
      <c r="C3" s="11">
        <v>3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173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154</v>
      </c>
      <c r="D7" s="20" t="s">
        <v>8</v>
      </c>
      <c r="E7" s="10" t="s">
        <v>7</v>
      </c>
      <c r="F7" s="5">
        <v>30</v>
      </c>
      <c r="G7" s="20" t="s">
        <v>9</v>
      </c>
    </row>
    <row r="8" spans="2:7" ht="16.5" customHeight="1">
      <c r="B8" s="22" t="s">
        <v>10</v>
      </c>
      <c r="C8" s="46" t="s">
        <v>170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>
        <v>6</v>
      </c>
      <c r="G9" s="20" t="s">
        <v>9</v>
      </c>
    </row>
    <row r="10" spans="2:7" ht="16.5" customHeight="1">
      <c r="B10" s="22" t="s">
        <v>13</v>
      </c>
      <c r="C10" s="46" t="s">
        <v>174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/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/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/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/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/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/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/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/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/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/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/>
      <c r="D22" s="47"/>
      <c r="K22" s="27"/>
    </row>
    <row r="23" spans="2:11" ht="16.5" customHeight="1">
      <c r="B23" s="10" t="s">
        <v>15</v>
      </c>
      <c r="C23" s="11"/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3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1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0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2</v>
      </c>
      <c r="D86" s="32"/>
      <c r="E86" s="32" t="s">
        <v>46</v>
      </c>
      <c r="F86" s="32">
        <f>IF(C86=1,1,0)</f>
        <v>0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1</v>
      </c>
      <c r="D87" s="32"/>
      <c r="E87" s="32" t="s">
        <v>87</v>
      </c>
      <c r="F87" s="32">
        <f>IF(C87,C86,0)</f>
        <v>2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0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144</v>
      </c>
      <c r="D89" s="32"/>
      <c r="E89" s="32">
        <f>IF(C6="1号木",C89,0)</f>
        <v>0</v>
      </c>
      <c r="F89" s="32">
        <f>IF(C6="1号木",1,0)</f>
        <v>0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0</v>
      </c>
      <c r="K89" s="32" t="b">
        <f>IF(C8="偏左",TRUE,FALSE)</f>
        <v>0</v>
      </c>
      <c r="L89" s="32" t="b">
        <f>IF(C8="偏右",TRUE,FALSE)</f>
        <v>1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>
        <f>IF(C6="1号木",C90,0)</f>
        <v>0</v>
      </c>
      <c r="F90" s="32">
        <f>IF(C6="1号木",1,0)</f>
        <v>0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0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0</v>
      </c>
      <c r="D93" s="32">
        <f ca="1">COUNTIF(C98,"&lt;=3")</f>
        <v>0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1</v>
      </c>
      <c r="D94" s="32">
        <f ca="1">COUNTIFS(C98,"&gt;3",C98,"&lt;=9")</f>
        <v>1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1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6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24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1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6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154</v>
      </c>
      <c r="D117" s="32" t="str" cm="1">
        <f t="array" aca="1" ref="D117" ca="1">IFERROR(INDIRECT("C"&amp;(C84*6)),0)</f>
        <v>7铁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144</v>
      </c>
      <c r="I124" s="32" cm="1">
        <f t="array" ref="I124">IFERROR(_xlfn._xlws.FILTER(ROW(C6:C65),C6:C65="直攻","")-3,)</f>
        <v>7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1</v>
      </c>
      <c r="L124" s="32">
        <f ca="1">IF(OR(J124="52度",J124="56度"),"",H124)</f>
        <v>144</v>
      </c>
      <c r="M124" s="32">
        <f ca="1">VLOOKUP(TRUE,K124:L128,2,0)</f>
        <v>144</v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1</v>
      </c>
      <c r="D128" s="32">
        <f ca="1">COUNTIFS(M124,"&gt;125",M124,"&lt;=150")</f>
        <v>1</v>
      </c>
      <c r="E128" s="32">
        <f ca="1">IF(D128=0,0,F7)</f>
        <v>30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3</v>
      </c>
      <c r="C133" s="32">
        <f>IF(C2=3,1,0)</f>
        <v>1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0</v>
      </c>
      <c r="C134" s="32">
        <f>IF(C2=4,1,0)</f>
        <v>0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topLeftCell="A85" zoomScale="78" zoomScaleNormal="78" workbookViewId="0">
      <selection activeCell="F10" sqref="F10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4</v>
      </c>
      <c r="D2" s="12" t="s">
        <v>1</v>
      </c>
    </row>
    <row r="3" spans="2:7" ht="16.5" customHeight="1">
      <c r="B3" s="10" t="s">
        <v>2</v>
      </c>
      <c r="C3" s="11">
        <v>5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169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380</v>
      </c>
      <c r="D7" s="20" t="s">
        <v>8</v>
      </c>
      <c r="E7" s="10" t="s">
        <v>7</v>
      </c>
      <c r="F7" s="5">
        <v>15</v>
      </c>
      <c r="G7" s="20" t="s">
        <v>9</v>
      </c>
    </row>
    <row r="8" spans="2:7" ht="16.5" customHeight="1">
      <c r="B8" s="22" t="s">
        <v>10</v>
      </c>
      <c r="C8" s="46" t="s">
        <v>179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>
        <v>3</v>
      </c>
      <c r="G9" s="20" t="s">
        <v>9</v>
      </c>
    </row>
    <row r="10" spans="2:7" ht="16.5" customHeight="1">
      <c r="B10" s="22" t="s">
        <v>13</v>
      </c>
      <c r="C10" s="46" t="s">
        <v>172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 t="s">
        <v>173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190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179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172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 t="s">
        <v>175</v>
      </c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>
        <v>65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 t="s">
        <v>179</v>
      </c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 t="s">
        <v>171</v>
      </c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 t="s">
        <v>174</v>
      </c>
      <c r="D22" s="47"/>
      <c r="K22" s="27"/>
    </row>
    <row r="23" spans="2:11" ht="16.5" customHeight="1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5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0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3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2</v>
      </c>
      <c r="D86" s="32"/>
      <c r="E86" s="32" t="s">
        <v>46</v>
      </c>
      <c r="F86" s="32">
        <f>IF(C86=1,1,0)</f>
        <v>0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0</v>
      </c>
      <c r="D87" s="32"/>
      <c r="E87" s="32" t="s">
        <v>87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0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190</v>
      </c>
      <c r="D89" s="32"/>
      <c r="E89" s="32">
        <f>IF(C6="1号木",C89,0)</f>
        <v>190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0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1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3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1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12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3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65</v>
      </c>
      <c r="D117" s="32" t="str" cm="1">
        <f t="array" aca="1" ref="D117" ca="1">IFERROR(INDIRECT("C"&amp;(C84*6)),0)</f>
        <v>56度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60</v>
      </c>
      <c r="I124" s="32" cm="1">
        <f t="array" ref="I124">IFERROR(_xlfn._xlws.FILTER(ROW(C6:C65),C6:C65="直攻","")-3,)</f>
        <v>19</v>
      </c>
      <c r="J124" s="32" t="str" cm="1">
        <f t="array" aca="1" ref="J124" ca="1">IFERROR(INDIRECT("C"&amp;I124-1),"")</f>
        <v>56度</v>
      </c>
      <c r="K124" s="32" t="b" cm="1">
        <f t="array" aca="1" ref="K124" ca="1">IF(INDIRECT("C"&amp;I124+6)&gt;0,FALSE,TRUE)</f>
        <v>1</v>
      </c>
      <c r="L124" s="32" t="str">
        <f ca="1">IF(OR(J124="52度",J124="56度"),"",H124)</f>
        <v/>
      </c>
      <c r="M124" s="32" t="str">
        <f ca="1">VLOOKUP(TRUE,K124:L128,2,0)</f>
        <v/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5</v>
      </c>
      <c r="C134" s="32">
        <f>IF(C2=4,1,0)</f>
        <v>1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0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1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topLeftCell="A76" zoomScale="76" zoomScaleNormal="76" workbookViewId="0">
      <selection activeCell="F10" sqref="F10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3</v>
      </c>
      <c r="D2" s="12" t="s">
        <v>1</v>
      </c>
    </row>
    <row r="3" spans="2:7" ht="16.5" customHeight="1">
      <c r="B3" s="10" t="s">
        <v>2</v>
      </c>
      <c r="C3" s="11">
        <v>3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173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127</v>
      </c>
      <c r="D7" s="20" t="s">
        <v>8</v>
      </c>
      <c r="E7" s="10" t="s">
        <v>7</v>
      </c>
      <c r="F7" s="5">
        <v>12</v>
      </c>
      <c r="G7" s="20" t="s">
        <v>9</v>
      </c>
    </row>
    <row r="8" spans="2:7" ht="16.5" customHeight="1">
      <c r="B8" s="22" t="s">
        <v>10</v>
      </c>
      <c r="C8" s="46" t="s">
        <v>179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>
        <v>1</v>
      </c>
      <c r="G9" s="20" t="s">
        <v>9</v>
      </c>
    </row>
    <row r="10" spans="2:7" ht="16.5" customHeight="1">
      <c r="B10" s="22" t="s">
        <v>13</v>
      </c>
      <c r="C10" s="46" t="s">
        <v>174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/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/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/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/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/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/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/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/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/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/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/>
      <c r="D22" s="47"/>
      <c r="K22" s="27"/>
    </row>
    <row r="23" spans="2:11" ht="16.5" customHeight="1">
      <c r="B23" s="10" t="s">
        <v>15</v>
      </c>
      <c r="C23" s="11"/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3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1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0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2</v>
      </c>
      <c r="D86" s="32"/>
      <c r="E86" s="32" t="s">
        <v>46</v>
      </c>
      <c r="F86" s="32">
        <f>IF(C86=1,1,0)</f>
        <v>0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1</v>
      </c>
      <c r="D87" s="32"/>
      <c r="E87" s="32" t="s">
        <v>87</v>
      </c>
      <c r="F87" s="32">
        <f>IF(C87,C86,0)</f>
        <v>2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0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123</v>
      </c>
      <c r="D89" s="32"/>
      <c r="E89" s="32">
        <f>IF(C6="1号木",C89,0)</f>
        <v>0</v>
      </c>
      <c r="F89" s="32">
        <f>IF(C6="1号木",1,0)</f>
        <v>0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>
        <f>IF(C6="1号木",C90,0)</f>
        <v>0</v>
      </c>
      <c r="F90" s="32">
        <f>IF(C6="1号木",1,0)</f>
        <v>0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0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0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1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1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1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11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1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127</v>
      </c>
      <c r="D117" s="32" t="str" cm="1">
        <f t="array" aca="1" ref="D117" ca="1">IFERROR(INDIRECT("C"&amp;(C84*6)),0)</f>
        <v>7铁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123</v>
      </c>
      <c r="I124" s="32" cm="1">
        <f t="array" ref="I124">IFERROR(_xlfn._xlws.FILTER(ROW(C6:C65),C6:C65="直攻","")-3,)</f>
        <v>7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1</v>
      </c>
      <c r="L124" s="32">
        <f ca="1">IF(OR(J124="52度",J124="56度"),"",H124)</f>
        <v>123</v>
      </c>
      <c r="M124" s="32">
        <f ca="1">VLOOKUP(TRUE,K124:L128,2,0)</f>
        <v>123</v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1</v>
      </c>
      <c r="D127" s="32">
        <f ca="1">COUNTIFS(M124,"&gt;100",M124,"&lt;=125")</f>
        <v>1</v>
      </c>
      <c r="E127" s="32">
        <f ca="1">IF(D127=0,0,F7)</f>
        <v>12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3</v>
      </c>
      <c r="C133" s="32">
        <f>IF(C2=3,1,0)</f>
        <v>1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0</v>
      </c>
      <c r="C134" s="32">
        <f>IF(C2=4,1,0)</f>
        <v>0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dataConsolidate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topLeftCell="A91" zoomScale="83" zoomScaleNormal="83" workbookViewId="0">
      <selection activeCell="F10" sqref="F10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4</v>
      </c>
      <c r="D2" s="12" t="s">
        <v>1</v>
      </c>
    </row>
    <row r="3" spans="2:7" ht="16.5" customHeight="1">
      <c r="B3" s="10" t="s">
        <v>2</v>
      </c>
      <c r="C3" s="11">
        <v>5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169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370</v>
      </c>
      <c r="D7" s="20" t="s">
        <v>8</v>
      </c>
      <c r="E7" s="10" t="s">
        <v>7</v>
      </c>
      <c r="F7" s="5">
        <v>15</v>
      </c>
      <c r="G7" s="20" t="s">
        <v>9</v>
      </c>
    </row>
    <row r="8" spans="2:7" ht="16.5" customHeight="1">
      <c r="B8" s="22" t="s">
        <v>10</v>
      </c>
      <c r="C8" s="46" t="s">
        <v>179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>
        <v>1</v>
      </c>
      <c r="G9" s="20" t="s">
        <v>9</v>
      </c>
    </row>
    <row r="10" spans="2:7" ht="16.5" customHeight="1">
      <c r="B10" s="22" t="s">
        <v>13</v>
      </c>
      <c r="C10" s="46" t="s">
        <v>172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 t="s">
        <v>178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183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179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174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 t="s">
        <v>175</v>
      </c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>
        <v>11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 t="s">
        <v>179</v>
      </c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 t="s">
        <v>171</v>
      </c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 t="s">
        <v>174</v>
      </c>
      <c r="D22" s="47"/>
      <c r="K22" s="27"/>
    </row>
    <row r="23" spans="2:11" ht="16.5" customHeight="1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5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0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3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2</v>
      </c>
      <c r="D86" s="32"/>
      <c r="E86" s="32" t="s">
        <v>46</v>
      </c>
      <c r="F86" s="32">
        <f>IF(C86=1,1,0)</f>
        <v>0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0</v>
      </c>
      <c r="D87" s="32"/>
      <c r="E87" s="32" t="s">
        <v>87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0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187</v>
      </c>
      <c r="D89" s="32"/>
      <c r="E89" s="32">
        <f>IF(C6="1号木",C89,0)</f>
        <v>187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0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1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1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1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14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1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11</v>
      </c>
      <c r="D117" s="32" t="str" cm="1">
        <f t="array" aca="1" ref="D117" ca="1">IFERROR(INDIRECT("C"&amp;(C84*6)),0)</f>
        <v>56度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1</v>
      </c>
      <c r="D119" s="32" cm="1">
        <f t="array" aca="1" ref="D119" ca="1">IFERROR(IF(INDIRECT("C"&amp;(C84*6))="52度",C119,0) + IF(INDIRECT("C"&amp;(C84*6))="56度",C119,0),0)</f>
        <v>1</v>
      </c>
      <c r="E119" s="32">
        <f>IF(AND(C82=TRUE, C87=FALSE),D119,0)</f>
        <v>0</v>
      </c>
      <c r="F119" s="32">
        <f t="shared" ref="F119" ca="1" si="0">IF(D119=0,0,F7)</f>
        <v>15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172</v>
      </c>
      <c r="I124" s="32" cm="1">
        <f t="array" ref="I124:I125">IFERROR(_xlfn._xlws.FILTER(ROW(C6:C65),C6:C65="直攻","")-3,)</f>
        <v>13</v>
      </c>
      <c r="J124" s="32" t="str" cm="1">
        <f t="array" aca="1" ref="J124" ca="1">IFERROR(INDIRECT("C"&amp;I124-1),"")</f>
        <v>球道木</v>
      </c>
      <c r="K124" s="32" t="b" cm="1">
        <f t="array" aca="1" ref="K124" ca="1">IF(INDIRECT("C"&amp;I124+6)&gt;0,FALSE,TRUE)</f>
        <v>0</v>
      </c>
      <c r="L124" s="32">
        <f ca="1">IF(OR(J124="52度",J124="56度"),"",H124)</f>
        <v>172</v>
      </c>
      <c r="M124" s="32" t="str">
        <f ca="1">VLOOKUP(TRUE,K124:L128,2,0)</f>
        <v/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cm="1">
        <f t="array" aca="1" ref="H125" ca="1">IFERROR(INDIRECT("C"&amp;I125)-IF(INDIRECT("C"&amp;(I125+6))=0,ROUND(F7/3,0),INDIRECT("C"&amp;(I125+6))),"")</f>
        <v>6</v>
      </c>
      <c r="I125" s="32">
        <v>19</v>
      </c>
      <c r="J125" s="32" t="str" cm="1">
        <f t="array" aca="1" ref="J125" ca="1">IFERROR(INDIRECT("C"&amp;I125-1),"")</f>
        <v>56度</v>
      </c>
      <c r="K125" s="32" t="b" cm="1">
        <f t="array" aca="1" ref="K125" ca="1">IF(INDIRECT("C"&amp;I125+6)&gt;0,FALSE,TRUE)</f>
        <v>1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1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5</v>
      </c>
      <c r="C134" s="32">
        <f>IF(C2=4,1,0)</f>
        <v>1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0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1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topLeftCell="A87" zoomScaleNormal="100" workbookViewId="0">
      <selection activeCell="J83" sqref="J83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5</v>
      </c>
      <c r="D2" s="12" t="s">
        <v>1</v>
      </c>
    </row>
    <row r="3" spans="2:7" ht="16.5" customHeight="1">
      <c r="B3" s="10" t="s">
        <v>2</v>
      </c>
      <c r="C3" s="11">
        <v>6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169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550</v>
      </c>
      <c r="D7" s="20" t="s">
        <v>8</v>
      </c>
      <c r="E7" s="10" t="s">
        <v>7</v>
      </c>
      <c r="F7" s="5">
        <v>18</v>
      </c>
      <c r="G7" s="20" t="s">
        <v>9</v>
      </c>
    </row>
    <row r="8" spans="2:7" ht="16.5" customHeight="1">
      <c r="B8" s="22" t="s">
        <v>10</v>
      </c>
      <c r="C8" s="46" t="s">
        <v>179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>
        <v>4</v>
      </c>
      <c r="G9" s="20" t="s">
        <v>9</v>
      </c>
    </row>
    <row r="10" spans="2:7" ht="16.5" customHeight="1">
      <c r="B10" s="22" t="s">
        <v>13</v>
      </c>
      <c r="C10" s="46" t="s">
        <v>172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 t="s">
        <v>178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360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179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172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 t="s">
        <v>178</v>
      </c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>
        <v>200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 t="s">
        <v>179</v>
      </c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 t="s">
        <v>171</v>
      </c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 t="s">
        <v>172</v>
      </c>
      <c r="D22" s="47"/>
      <c r="K22" s="27"/>
    </row>
    <row r="23" spans="2:11" ht="16.5" customHeight="1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 t="s">
        <v>181</v>
      </c>
      <c r="D24" s="47"/>
    </row>
    <row r="25" spans="2:11" ht="16.5" customHeight="1">
      <c r="B25" s="10" t="s">
        <v>7</v>
      </c>
      <c r="C25" s="19">
        <v>72</v>
      </c>
      <c r="D25" s="20" t="s">
        <v>8</v>
      </c>
    </row>
    <row r="26" spans="2:11" ht="16.5" customHeight="1">
      <c r="B26" s="22" t="s">
        <v>10</v>
      </c>
      <c r="C26" s="46" t="s">
        <v>179</v>
      </c>
      <c r="D26" s="47"/>
    </row>
    <row r="27" spans="2:11" ht="16.5" customHeight="1">
      <c r="B27" s="22" t="s">
        <v>12</v>
      </c>
      <c r="C27" s="46" t="s">
        <v>171</v>
      </c>
      <c r="D27" s="47"/>
    </row>
    <row r="28" spans="2:11" ht="16.5" customHeight="1">
      <c r="B28" s="22" t="s">
        <v>13</v>
      </c>
      <c r="C28" s="46" t="s">
        <v>174</v>
      </c>
      <c r="D28" s="47"/>
    </row>
    <row r="29" spans="2:11" ht="16.5" customHeight="1">
      <c r="B29" s="10" t="s">
        <v>15</v>
      </c>
      <c r="C29" s="11">
        <v>0</v>
      </c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6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0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4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0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2</v>
      </c>
      <c r="D86" s="32"/>
      <c r="E86" s="32" t="s">
        <v>46</v>
      </c>
      <c r="F86" s="32">
        <f>IF(C86=1,1,0)</f>
        <v>0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0</v>
      </c>
      <c r="D87" s="32"/>
      <c r="E87" s="32" t="s">
        <v>87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0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190</v>
      </c>
      <c r="D89" s="32"/>
      <c r="E89" s="32">
        <f>IF(C6="1号木",C89,0)</f>
        <v>190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0</v>
      </c>
      <c r="D93" s="32">
        <f ca="1">COUNTIF(C98,"&lt;=3")</f>
        <v>0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1</v>
      </c>
      <c r="D94" s="32">
        <f ca="1">COUNTIFS(C98,"&gt;3",C98,"&lt;=9")</f>
        <v>1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1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4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14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1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4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72</v>
      </c>
      <c r="D117" s="32" t="str" cm="1">
        <f t="array" aca="1" ref="D117" ca="1">IFERROR(INDIRECT("C"&amp;(C84*6)),0)</f>
        <v>P杆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66</v>
      </c>
      <c r="I124" s="32" cm="1">
        <f t="array" ref="I124">IFERROR(_xlfn._xlws.FILTER(ROW(C6:C65),C6:C65="直攻","")-3,)</f>
        <v>25</v>
      </c>
      <c r="J124" s="32" t="str" cm="1">
        <f t="array" aca="1" ref="J124" ca="1">IFERROR(INDIRECT("C"&amp;I124-1),"")</f>
        <v>P杆</v>
      </c>
      <c r="K124" s="32" t="b" cm="1">
        <f t="array" aca="1" ref="K124" ca="1">IF(INDIRECT("C"&amp;I124+6)&gt;0,FALSE,TRUE)</f>
        <v>1</v>
      </c>
      <c r="L124" s="32">
        <f ca="1">IF(OR(J124="52度",J124="56度"),"",H124)</f>
        <v>66</v>
      </c>
      <c r="M124" s="32">
        <f ca="1">VLOOKUP(TRUE,K124:L128,2,0)</f>
        <v>66</v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1</v>
      </c>
      <c r="D125" s="32">
        <f ca="1">COUNTIFS(M124,"&gt;50",M124,"&lt;=75")</f>
        <v>1</v>
      </c>
      <c r="E125" s="32">
        <f ca="1">IF(D125=0,0,F7)</f>
        <v>18</v>
      </c>
      <c r="F125" s="32"/>
      <c r="G125" s="32" t="s">
        <v>74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0</v>
      </c>
      <c r="C134" s="32">
        <f>IF(C2=4,1,0)</f>
        <v>0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6</v>
      </c>
      <c r="C135" s="32">
        <f>IF(C2=5,1,0)</f>
        <v>1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0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1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2:D32"/>
    <mergeCell ref="C33:D33"/>
    <mergeCell ref="C34:D34"/>
    <mergeCell ref="C38:D38"/>
    <mergeCell ref="C39:D39"/>
    <mergeCell ref="C40:D40"/>
    <mergeCell ref="C44:D44"/>
    <mergeCell ref="C14:D14"/>
    <mergeCell ref="C15:D15"/>
    <mergeCell ref="C16:D16"/>
    <mergeCell ref="C18:D18"/>
    <mergeCell ref="C24:D24"/>
    <mergeCell ref="C22:D22"/>
    <mergeCell ref="C6:D6"/>
    <mergeCell ref="C8:D8"/>
    <mergeCell ref="C9:D9"/>
    <mergeCell ref="C10:D10"/>
    <mergeCell ref="C12:D12"/>
    <mergeCell ref="C28:D28"/>
    <mergeCell ref="C20:D20"/>
    <mergeCell ref="C21:D21"/>
    <mergeCell ref="C26:D26"/>
    <mergeCell ref="C27:D27"/>
    <mergeCell ref="C56:D56"/>
    <mergeCell ref="C57:D57"/>
    <mergeCell ref="C58:D58"/>
    <mergeCell ref="C45:D45"/>
    <mergeCell ref="C46:D46"/>
    <mergeCell ref="C50:D50"/>
    <mergeCell ref="C51:D51"/>
    <mergeCell ref="C52:D5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G28"/>
  <sheetViews>
    <sheetView workbookViewId="0">
      <selection activeCell="C18" sqref="C18:C23"/>
    </sheetView>
  </sheetViews>
  <sheetFormatPr defaultRowHeight="15.75"/>
  <sheetData>
    <row r="6" spans="1:3">
      <c r="B6" s="1" t="s">
        <v>46</v>
      </c>
      <c r="C6" s="1" t="s">
        <v>41</v>
      </c>
    </row>
    <row r="7" spans="1:3">
      <c r="C7" s="2" t="s">
        <v>42</v>
      </c>
    </row>
    <row r="8" spans="1:3">
      <c r="C8" s="2" t="s">
        <v>43</v>
      </c>
    </row>
    <row r="9" spans="1:3">
      <c r="C9" s="3" t="s">
        <v>44</v>
      </c>
    </row>
    <row r="10" spans="1:3">
      <c r="C10" s="1" t="s">
        <v>45</v>
      </c>
    </row>
    <row r="11" spans="1:3">
      <c r="A11" s="1" t="s">
        <v>60</v>
      </c>
      <c r="B11" s="1" t="s">
        <v>47</v>
      </c>
      <c r="C11" s="3" t="s">
        <v>43</v>
      </c>
    </row>
    <row r="12" spans="1:3">
      <c r="C12" s="3" t="s">
        <v>44</v>
      </c>
    </row>
    <row r="13" spans="1:3">
      <c r="C13" s="1" t="s">
        <v>45</v>
      </c>
    </row>
    <row r="14" spans="1:3">
      <c r="B14" s="1" t="s">
        <v>48</v>
      </c>
      <c r="C14" s="1" t="s">
        <v>49</v>
      </c>
    </row>
    <row r="15" spans="1:3">
      <c r="C15" s="1" t="s">
        <v>50</v>
      </c>
    </row>
    <row r="16" spans="1:3">
      <c r="C16" s="1" t="s">
        <v>51</v>
      </c>
    </row>
    <row r="17" spans="2:7">
      <c r="C17" s="1" t="s">
        <v>52</v>
      </c>
    </row>
    <row r="18" spans="2:7">
      <c r="B18" s="1" t="s">
        <v>57</v>
      </c>
      <c r="C18" s="1" t="s">
        <v>53</v>
      </c>
    </row>
    <row r="19" spans="2:7">
      <c r="C19" s="1" t="s">
        <v>54</v>
      </c>
    </row>
    <row r="20" spans="2:7">
      <c r="C20" s="1" t="s">
        <v>55</v>
      </c>
    </row>
    <row r="21" spans="2:7">
      <c r="C21" s="1" t="s">
        <v>56</v>
      </c>
    </row>
    <row r="22" spans="2:7">
      <c r="C22" s="1" t="s">
        <v>58</v>
      </c>
    </row>
    <row r="23" spans="2:7">
      <c r="C23" s="1" t="s">
        <v>59</v>
      </c>
      <c r="E23" s="1"/>
      <c r="G23" s="4"/>
    </row>
    <row r="24" spans="2:7">
      <c r="E24" s="1"/>
      <c r="G24" s="4"/>
    </row>
    <row r="25" spans="2:7">
      <c r="E25" s="1"/>
      <c r="G25" s="4"/>
    </row>
    <row r="26" spans="2:7">
      <c r="E26" s="1"/>
      <c r="G26" s="4"/>
    </row>
    <row r="27" spans="2:7">
      <c r="E27" s="1"/>
      <c r="G27" s="4"/>
    </row>
    <row r="28" spans="2:7">
      <c r="G28" s="4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2"/>
  <pixelatorList sheetStid="13"/>
  <pixelatorList sheetStid="14"/>
  <pixelatorList sheetStid="15"/>
  <pixelatorList sheetStid="16"/>
  <pixelatorList sheetStid="17"/>
  <pixelatorList sheetStid="18"/>
  <pixelatorList sheetStid="19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  <woSheetProps sheetStid="17" interlineOnOff="0" interlineColor="0" isDbSheet="0" isDashBoardSheet="0" isDbDashBoardSheet="0" isFlexPaperSheet="0">
      <cellprotection/>
      <appEtDbRelations/>
    </woSheetProps>
    <woSheetProps sheetStid="18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统计分析</vt:lpstr>
      <vt:lpstr>1号洞</vt:lpstr>
      <vt:lpstr>2号洞</vt:lpstr>
      <vt:lpstr>3号洞</vt:lpstr>
      <vt:lpstr>4号洞</vt:lpstr>
      <vt:lpstr>5号洞</vt:lpstr>
      <vt:lpstr>6号洞</vt:lpstr>
      <vt:lpstr>7号洞</vt:lpstr>
      <vt:lpstr>8号洞</vt:lpstr>
      <vt:lpstr>9号洞</vt:lpstr>
      <vt:lpstr>10号洞</vt:lpstr>
      <vt:lpstr>11号洞</vt:lpstr>
      <vt:lpstr>12号洞</vt:lpstr>
      <vt:lpstr>13号洞</vt:lpstr>
      <vt:lpstr>14号洞</vt:lpstr>
      <vt:lpstr>15号洞</vt:lpstr>
      <vt:lpstr>16号洞</vt:lpstr>
      <vt:lpstr>17号洞</vt:lpstr>
      <vt:lpstr>18号洞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windows</cp:lastModifiedBy>
  <dcterms:created xsi:type="dcterms:W3CDTF">2006-09-16T08:00:00Z</dcterms:created>
  <dcterms:modified xsi:type="dcterms:W3CDTF">2026-03-31T17:16:42Z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A69BD57D2B2820325B2FC5675A6F739E_33</vt:lpwstr>
  </property>
  <property fmtid="{D5CDD505-2E9C-101B-9397-08002B2CF9AE}" pid="3" name="KSOProductBuildVer">
    <vt:lpwstr>2052-12.9.0.20326</vt:lpwstr>
  </property>
  <property fmtid="{D5CDD505-2E9C-101B-9397-08002B2CF9AE}" pid="4" name="KSOReadingLayout">
    <vt:bool>false</vt:bool>
  </property>
</Properties>
</file>