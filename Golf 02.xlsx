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engch\Documents\trae_projects\HelloTrae\BellaGolfApp\"/>
    </mc:Choice>
  </mc:AlternateContent>
  <bookViews>
    <workbookView xWindow="-105" yWindow="-105" windowWidth="23250" windowHeight="14010" tabRatio="937"/>
  </bookViews>
  <sheets>
    <sheet name="1号洞" sheetId="1" r:id="rId1"/>
    <sheet name="2号洞" sheetId="2" r:id="rId2"/>
    <sheet name="3号洞" sheetId="3" r:id="rId3"/>
    <sheet name="4号洞" sheetId="4" r:id="rId4"/>
    <sheet name="5号洞" sheetId="5" r:id="rId5"/>
    <sheet name="6号洞" sheetId="6" r:id="rId6"/>
    <sheet name="7号洞" sheetId="7" r:id="rId7"/>
    <sheet name="8号洞" sheetId="8" r:id="rId8"/>
    <sheet name="9号洞" sheetId="9" r:id="rId9"/>
    <sheet name="10号洞" sheetId="10" r:id="rId10"/>
    <sheet name="11号洞" sheetId="11" r:id="rId11"/>
    <sheet name="12号洞" sheetId="12" r:id="rId12"/>
    <sheet name="13号洞" sheetId="13" r:id="rId13"/>
    <sheet name="14号洞" sheetId="14" r:id="rId14"/>
    <sheet name="15号洞" sheetId="15" r:id="rId15"/>
    <sheet name="16号洞" sheetId="16" r:id="rId16"/>
    <sheet name="17号洞" sheetId="17" r:id="rId17"/>
    <sheet name="18号洞" sheetId="18" r:id="rId18"/>
    <sheet name="Sheet1" sheetId="19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1" l="1"/>
  <c r="B140" i="1"/>
  <c r="B139" i="1"/>
  <c r="B138" i="1"/>
  <c r="B137" i="1"/>
  <c r="B136" i="1"/>
  <c r="C135" i="1"/>
  <c r="C134" i="1"/>
  <c r="C133" i="1"/>
  <c r="B133" i="1"/>
  <c r="I124" i="1" a="1"/>
  <c r="I124" i="1" s="1"/>
  <c r="I108" i="1"/>
  <c r="I107" i="1"/>
  <c r="I106" i="1"/>
  <c r="I105" i="1"/>
  <c r="I104" i="1"/>
  <c r="I103" i="1"/>
  <c r="C103" i="1"/>
  <c r="E103" i="1" s="1"/>
  <c r="I102" i="1"/>
  <c r="C102" i="1"/>
  <c r="E102" i="1" s="1"/>
  <c r="I101" i="1"/>
  <c r="C101" i="1"/>
  <c r="E101" i="1" s="1"/>
  <c r="C97" i="1"/>
  <c r="F90" i="1"/>
  <c r="H90" i="1" s="1"/>
  <c r="C90" i="1"/>
  <c r="E90" i="1" s="1"/>
  <c r="L89" i="1"/>
  <c r="K89" i="1"/>
  <c r="J89" i="1"/>
  <c r="I89" i="1"/>
  <c r="H89" i="1"/>
  <c r="F89" i="1"/>
  <c r="C85" i="1"/>
  <c r="C84" i="1"/>
  <c r="C89" i="1" s="1"/>
  <c r="E89" i="1" s="1"/>
  <c r="C83" i="1"/>
  <c r="B140" i="2"/>
  <c r="B139" i="2"/>
  <c r="B138" i="2"/>
  <c r="B137" i="2"/>
  <c r="B136" i="2"/>
  <c r="C135" i="2"/>
  <c r="C134" i="2"/>
  <c r="B134" i="2"/>
  <c r="C133" i="2"/>
  <c r="I124" i="2" a="1"/>
  <c r="I124" i="2" s="1"/>
  <c r="I108" i="2"/>
  <c r="I107" i="2"/>
  <c r="I106" i="2"/>
  <c r="I105" i="2"/>
  <c r="I104" i="2"/>
  <c r="I103" i="2"/>
  <c r="C103" i="2"/>
  <c r="E103" i="2" s="1"/>
  <c r="I102" i="2"/>
  <c r="C102" i="2"/>
  <c r="E102" i="2" s="1"/>
  <c r="I101" i="2"/>
  <c r="C101" i="2"/>
  <c r="E101" i="2" s="1"/>
  <c r="C97" i="2"/>
  <c r="F90" i="2"/>
  <c r="C90" i="2"/>
  <c r="E90" i="2" s="1"/>
  <c r="L89" i="2"/>
  <c r="K89" i="2"/>
  <c r="J89" i="2"/>
  <c r="I89" i="2"/>
  <c r="H89" i="2"/>
  <c r="F89" i="2"/>
  <c r="C86" i="2"/>
  <c r="H86" i="2" s="1"/>
  <c r="C85" i="2"/>
  <c r="C84" i="2"/>
  <c r="C89" i="2" s="1"/>
  <c r="E89" i="2" s="1"/>
  <c r="C83" i="2"/>
  <c r="B140" i="3"/>
  <c r="B139" i="3"/>
  <c r="B138" i="3"/>
  <c r="B137" i="3"/>
  <c r="B136" i="3"/>
  <c r="C135" i="3"/>
  <c r="B135" i="3"/>
  <c r="C134" i="3"/>
  <c r="C133" i="3"/>
  <c r="I124" i="3" a="1"/>
  <c r="I124" i="3" s="1"/>
  <c r="I108" i="3"/>
  <c r="I107" i="3"/>
  <c r="I106" i="3"/>
  <c r="I105" i="3"/>
  <c r="I104" i="3"/>
  <c r="I103" i="3"/>
  <c r="C96" i="3" s="1"/>
  <c r="C103" i="3"/>
  <c r="E103" i="3" s="1"/>
  <c r="I102" i="3"/>
  <c r="C102" i="3"/>
  <c r="E102" i="3" s="1"/>
  <c r="I101" i="3"/>
  <c r="C101" i="3"/>
  <c r="E101" i="3" s="1"/>
  <c r="C97" i="3"/>
  <c r="F90" i="3"/>
  <c r="C90" i="3"/>
  <c r="E90" i="3" s="1"/>
  <c r="L89" i="3"/>
  <c r="K89" i="3"/>
  <c r="J89" i="3"/>
  <c r="I89" i="3"/>
  <c r="H89" i="3"/>
  <c r="F89" i="3"/>
  <c r="C86" i="3"/>
  <c r="H86" i="3" s="1"/>
  <c r="C85" i="3"/>
  <c r="C84" i="3"/>
  <c r="C89" i="3" s="1"/>
  <c r="E89" i="3" s="1"/>
  <c r="C83" i="3"/>
  <c r="B140" i="4"/>
  <c r="B139" i="4"/>
  <c r="B138" i="4"/>
  <c r="B137" i="4"/>
  <c r="B136" i="4"/>
  <c r="C135" i="4"/>
  <c r="C134" i="4"/>
  <c r="C133" i="4"/>
  <c r="B133" i="4"/>
  <c r="I124" i="4" a="1"/>
  <c r="I124" i="4" s="1"/>
  <c r="I108" i="4"/>
  <c r="I107" i="4"/>
  <c r="I106" i="4"/>
  <c r="I105" i="4"/>
  <c r="I104" i="4"/>
  <c r="I103" i="4"/>
  <c r="C96" i="4" s="1"/>
  <c r="C103" i="4"/>
  <c r="E103" i="4" s="1"/>
  <c r="I102" i="4"/>
  <c r="C102" i="4"/>
  <c r="E102" i="4" s="1"/>
  <c r="I101" i="4"/>
  <c r="C101" i="4"/>
  <c r="E101" i="4" s="1"/>
  <c r="C97" i="4"/>
  <c r="F90" i="4"/>
  <c r="E90" i="4"/>
  <c r="C90" i="4"/>
  <c r="L89" i="4"/>
  <c r="K89" i="4"/>
  <c r="J89" i="4"/>
  <c r="I89" i="4"/>
  <c r="H89" i="4"/>
  <c r="F89" i="4"/>
  <c r="C86" i="4"/>
  <c r="H86" i="4" s="1"/>
  <c r="C85" i="4"/>
  <c r="C84" i="4"/>
  <c r="C89" i="4" s="1"/>
  <c r="E89" i="4" s="1"/>
  <c r="C83" i="4"/>
  <c r="B140" i="5"/>
  <c r="B139" i="5"/>
  <c r="B138" i="5"/>
  <c r="B137" i="5"/>
  <c r="B136" i="5"/>
  <c r="C135" i="5"/>
  <c r="B135" i="5"/>
  <c r="C134" i="5"/>
  <c r="C133" i="5"/>
  <c r="I124" i="5" a="1"/>
  <c r="I124" i="5" s="1"/>
  <c r="I108" i="5"/>
  <c r="I107" i="5"/>
  <c r="I106" i="5"/>
  <c r="I105" i="5"/>
  <c r="I104" i="5"/>
  <c r="I103" i="5"/>
  <c r="C96" i="5" s="1"/>
  <c r="C103" i="5"/>
  <c r="E103" i="5" s="1"/>
  <c r="I102" i="5"/>
  <c r="C102" i="5"/>
  <c r="E102" i="5" s="1"/>
  <c r="I101" i="5"/>
  <c r="C101" i="5"/>
  <c r="E101" i="5" s="1"/>
  <c r="C97" i="5"/>
  <c r="F90" i="5"/>
  <c r="H90" i="5" s="1"/>
  <c r="E90" i="5"/>
  <c r="C90" i="5"/>
  <c r="L89" i="5"/>
  <c r="K89" i="5"/>
  <c r="J89" i="5"/>
  <c r="I89" i="5"/>
  <c r="H89" i="5"/>
  <c r="F89" i="5"/>
  <c r="C86" i="5"/>
  <c r="H86" i="5" s="1"/>
  <c r="C85" i="5"/>
  <c r="C84" i="5"/>
  <c r="C89" i="5" s="1"/>
  <c r="E89" i="5" s="1"/>
  <c r="C83" i="5"/>
  <c r="B140" i="6"/>
  <c r="B139" i="6"/>
  <c r="B138" i="6"/>
  <c r="B137" i="6"/>
  <c r="B136" i="6"/>
  <c r="C135" i="6"/>
  <c r="B135" i="6"/>
  <c r="C134" i="6"/>
  <c r="C133" i="6"/>
  <c r="B133" i="6"/>
  <c r="I124" i="6" a="1"/>
  <c r="I124" i="6" s="1"/>
  <c r="I108" i="6"/>
  <c r="I107" i="6"/>
  <c r="I106" i="6"/>
  <c r="I105" i="6"/>
  <c r="I104" i="6"/>
  <c r="I103" i="6"/>
  <c r="C96" i="6" s="1"/>
  <c r="C103" i="6"/>
  <c r="E103" i="6" s="1"/>
  <c r="I102" i="6"/>
  <c r="C97" i="6" s="1"/>
  <c r="C102" i="6"/>
  <c r="E102" i="6" s="1"/>
  <c r="I101" i="6"/>
  <c r="C101" i="6"/>
  <c r="E101" i="6" s="1"/>
  <c r="F90" i="6"/>
  <c r="E90" i="6"/>
  <c r="C90" i="6"/>
  <c r="L89" i="6"/>
  <c r="K89" i="6"/>
  <c r="J89" i="6"/>
  <c r="I89" i="6"/>
  <c r="H89" i="6"/>
  <c r="F89" i="6"/>
  <c r="C86" i="6"/>
  <c r="H86" i="6" s="1"/>
  <c r="C85" i="6"/>
  <c r="C84" i="6"/>
  <c r="C89" i="6" s="1"/>
  <c r="E89" i="6" s="1"/>
  <c r="C83" i="6"/>
  <c r="B140" i="7"/>
  <c r="B139" i="7"/>
  <c r="B138" i="7"/>
  <c r="B137" i="7"/>
  <c r="B136" i="7"/>
  <c r="C135" i="7"/>
  <c r="B135" i="7"/>
  <c r="C134" i="7"/>
  <c r="B134" i="7"/>
  <c r="C133" i="7"/>
  <c r="I124" i="7" a="1"/>
  <c r="I124" i="7" s="1"/>
  <c r="I108" i="7"/>
  <c r="I107" i="7"/>
  <c r="I106" i="7"/>
  <c r="I105" i="7"/>
  <c r="I104" i="7"/>
  <c r="I103" i="7"/>
  <c r="C103" i="7"/>
  <c r="I102" i="7"/>
  <c r="C102" i="7"/>
  <c r="E102" i="7" s="1"/>
  <c r="I101" i="7"/>
  <c r="C97" i="7" s="1"/>
  <c r="C101" i="7"/>
  <c r="E101" i="7" s="1"/>
  <c r="F90" i="7"/>
  <c r="H90" i="7" s="1"/>
  <c r="E90" i="7"/>
  <c r="C90" i="7"/>
  <c r="L89" i="7"/>
  <c r="K89" i="7"/>
  <c r="J89" i="7"/>
  <c r="I89" i="7"/>
  <c r="H89" i="7"/>
  <c r="F89" i="7"/>
  <c r="E89" i="7"/>
  <c r="C86" i="7"/>
  <c r="H86" i="7" s="1"/>
  <c r="C85" i="7"/>
  <c r="C84" i="7"/>
  <c r="C89" i="7" s="1"/>
  <c r="C83" i="7"/>
  <c r="B140" i="8"/>
  <c r="B139" i="8"/>
  <c r="B138" i="8"/>
  <c r="B137" i="8"/>
  <c r="B136" i="8"/>
  <c r="C135" i="8"/>
  <c r="B135" i="8"/>
  <c r="C134" i="8"/>
  <c r="C133" i="8"/>
  <c r="B133" i="8"/>
  <c r="I124" i="8" a="1"/>
  <c r="I124" i="8" s="1"/>
  <c r="I108" i="8"/>
  <c r="I107" i="8"/>
  <c r="I106" i="8"/>
  <c r="I105" i="8"/>
  <c r="I104" i="8"/>
  <c r="I103" i="8"/>
  <c r="C103" i="8"/>
  <c r="E103" i="8" s="1"/>
  <c r="I102" i="8"/>
  <c r="C102" i="8"/>
  <c r="I101" i="8"/>
  <c r="C97" i="8" s="1"/>
  <c r="C101" i="8"/>
  <c r="E101" i="8" s="1"/>
  <c r="F90" i="8"/>
  <c r="E90" i="8"/>
  <c r="C90" i="8"/>
  <c r="L89" i="8"/>
  <c r="K89" i="8"/>
  <c r="J89" i="8"/>
  <c r="I89" i="8"/>
  <c r="H89" i="8"/>
  <c r="F89" i="8"/>
  <c r="C86" i="8"/>
  <c r="C85" i="8"/>
  <c r="C84" i="8"/>
  <c r="C89" i="8" s="1"/>
  <c r="E89" i="8" s="1"/>
  <c r="C83" i="8"/>
  <c r="B140" i="9"/>
  <c r="B139" i="9"/>
  <c r="B138" i="9"/>
  <c r="B137" i="9"/>
  <c r="B136" i="9"/>
  <c r="C135" i="9"/>
  <c r="C134" i="9"/>
  <c r="C133" i="9"/>
  <c r="B133" i="9"/>
  <c r="I124" i="9" a="1"/>
  <c r="I124" i="9" s="1"/>
  <c r="I108" i="9"/>
  <c r="I107" i="9"/>
  <c r="I106" i="9"/>
  <c r="I105" i="9"/>
  <c r="I104" i="9"/>
  <c r="I103" i="9"/>
  <c r="C96" i="9" s="1"/>
  <c r="C103" i="9"/>
  <c r="E103" i="9" s="1"/>
  <c r="I102" i="9"/>
  <c r="C102" i="9"/>
  <c r="E102" i="9" s="1"/>
  <c r="I101" i="9"/>
  <c r="C101" i="9"/>
  <c r="E101" i="9" s="1"/>
  <c r="C97" i="9"/>
  <c r="F90" i="9"/>
  <c r="E90" i="9"/>
  <c r="C90" i="9"/>
  <c r="L89" i="9"/>
  <c r="K89" i="9"/>
  <c r="J89" i="9"/>
  <c r="I89" i="9"/>
  <c r="H89" i="9"/>
  <c r="F89" i="9"/>
  <c r="C86" i="9"/>
  <c r="C85" i="9"/>
  <c r="C84" i="9"/>
  <c r="C89" i="9" s="1"/>
  <c r="E89" i="9" s="1"/>
  <c r="C83" i="9"/>
  <c r="B140" i="10"/>
  <c r="B139" i="10"/>
  <c r="B138" i="10"/>
  <c r="B137" i="10"/>
  <c r="B136" i="10"/>
  <c r="C135" i="10"/>
  <c r="C134" i="10"/>
  <c r="C133" i="10"/>
  <c r="B133" i="10"/>
  <c r="I124" i="10" a="1"/>
  <c r="I124" i="10" s="1"/>
  <c r="I108" i="10"/>
  <c r="I107" i="10"/>
  <c r="I106" i="10"/>
  <c r="I105" i="10"/>
  <c r="I104" i="10"/>
  <c r="I103" i="10"/>
  <c r="C103" i="10"/>
  <c r="I102" i="10"/>
  <c r="C102" i="10"/>
  <c r="E102" i="10" s="1"/>
  <c r="I101" i="10"/>
  <c r="C97" i="10" s="1"/>
  <c r="C101" i="10"/>
  <c r="E101" i="10" s="1"/>
  <c r="F90" i="10"/>
  <c r="E90" i="10"/>
  <c r="C90" i="10"/>
  <c r="L89" i="10"/>
  <c r="K89" i="10"/>
  <c r="J89" i="10"/>
  <c r="I89" i="10"/>
  <c r="H89" i="10"/>
  <c r="F89" i="10"/>
  <c r="C86" i="10"/>
  <c r="H86" i="10" s="1"/>
  <c r="C85" i="10"/>
  <c r="C84" i="10"/>
  <c r="C89" i="10" s="1"/>
  <c r="E89" i="10" s="1"/>
  <c r="C83" i="10"/>
  <c r="B140" i="11"/>
  <c r="B139" i="11"/>
  <c r="B138" i="11"/>
  <c r="B137" i="11"/>
  <c r="B136" i="11"/>
  <c r="C135" i="11"/>
  <c r="B135" i="11"/>
  <c r="C134" i="11"/>
  <c r="C133" i="11"/>
  <c r="B133" i="11"/>
  <c r="I124" i="11" a="1"/>
  <c r="I124" i="11" s="1"/>
  <c r="I108" i="11"/>
  <c r="I107" i="11"/>
  <c r="I106" i="11"/>
  <c r="I105" i="11"/>
  <c r="I104" i="11"/>
  <c r="I103" i="11"/>
  <c r="C96" i="11" s="1"/>
  <c r="C103" i="11"/>
  <c r="E103" i="11" s="1"/>
  <c r="I102" i="11"/>
  <c r="C102" i="11"/>
  <c r="E102" i="11" s="1"/>
  <c r="I101" i="11"/>
  <c r="C101" i="11"/>
  <c r="E101" i="11" s="1"/>
  <c r="C97" i="11"/>
  <c r="F90" i="11"/>
  <c r="E90" i="11"/>
  <c r="C90" i="11"/>
  <c r="L89" i="11"/>
  <c r="K89" i="11"/>
  <c r="J89" i="11"/>
  <c r="I89" i="11"/>
  <c r="H89" i="11"/>
  <c r="F89" i="11"/>
  <c r="C86" i="11"/>
  <c r="H86" i="11" s="1"/>
  <c r="C85" i="11"/>
  <c r="C84" i="11"/>
  <c r="C89" i="11" s="1"/>
  <c r="E89" i="11" s="1"/>
  <c r="C83" i="11"/>
  <c r="B140" i="12"/>
  <c r="B139" i="12"/>
  <c r="B138" i="12"/>
  <c r="B137" i="12"/>
  <c r="B136" i="12"/>
  <c r="C135" i="12"/>
  <c r="B135" i="12"/>
  <c r="C134" i="12"/>
  <c r="C133" i="12"/>
  <c r="I124" i="12" a="1"/>
  <c r="I124" i="12" s="1"/>
  <c r="I108" i="12"/>
  <c r="I107" i="12"/>
  <c r="I106" i="12"/>
  <c r="I105" i="12"/>
  <c r="I104" i="12"/>
  <c r="I103" i="12"/>
  <c r="C103" i="12"/>
  <c r="E103" i="12" s="1"/>
  <c r="I102" i="12"/>
  <c r="C102" i="12"/>
  <c r="E102" i="12" s="1"/>
  <c r="I101" i="12"/>
  <c r="C101" i="12"/>
  <c r="E101" i="12" s="1"/>
  <c r="C97" i="12"/>
  <c r="F90" i="12"/>
  <c r="E90" i="12"/>
  <c r="C90" i="12"/>
  <c r="L89" i="12"/>
  <c r="K89" i="12"/>
  <c r="J89" i="12"/>
  <c r="I89" i="12"/>
  <c r="H89" i="12"/>
  <c r="F89" i="12"/>
  <c r="C86" i="12"/>
  <c r="H86" i="12" s="1"/>
  <c r="C85" i="12"/>
  <c r="C84" i="12"/>
  <c r="C89" i="12" s="1"/>
  <c r="E89" i="12" s="1"/>
  <c r="C83" i="12"/>
  <c r="B140" i="13"/>
  <c r="B139" i="13"/>
  <c r="B138" i="13"/>
  <c r="B137" i="13"/>
  <c r="B136" i="13"/>
  <c r="C135" i="13"/>
  <c r="B135" i="13"/>
  <c r="C134" i="13"/>
  <c r="C133" i="13"/>
  <c r="B133" i="13"/>
  <c r="I124" i="13" a="1"/>
  <c r="I124" i="13" s="1"/>
  <c r="I108" i="13"/>
  <c r="I107" i="13"/>
  <c r="I106" i="13"/>
  <c r="I105" i="13"/>
  <c r="I104" i="13"/>
  <c r="I103" i="13"/>
  <c r="C96" i="13" s="1"/>
  <c r="C103" i="13"/>
  <c r="E103" i="13" s="1"/>
  <c r="I102" i="13"/>
  <c r="C102" i="13"/>
  <c r="E102" i="13" s="1"/>
  <c r="I101" i="13"/>
  <c r="C101" i="13"/>
  <c r="E101" i="13" s="1"/>
  <c r="C97" i="13"/>
  <c r="F90" i="13"/>
  <c r="E90" i="13"/>
  <c r="C90" i="13"/>
  <c r="L89" i="13"/>
  <c r="K89" i="13"/>
  <c r="J89" i="13"/>
  <c r="I89" i="13"/>
  <c r="H89" i="13"/>
  <c r="F89" i="13"/>
  <c r="C86" i="13"/>
  <c r="H86" i="13" s="1"/>
  <c r="C85" i="13"/>
  <c r="C84" i="13"/>
  <c r="C89" i="13" s="1"/>
  <c r="E89" i="13" s="1"/>
  <c r="C83" i="13"/>
  <c r="B140" i="14"/>
  <c r="B139" i="14"/>
  <c r="B138" i="14"/>
  <c r="B137" i="14"/>
  <c r="B136" i="14"/>
  <c r="C135" i="14"/>
  <c r="C134" i="14"/>
  <c r="B134" i="14"/>
  <c r="C133" i="14"/>
  <c r="I124" i="14" a="1"/>
  <c r="I124" i="14" s="1"/>
  <c r="I108" i="14"/>
  <c r="I107" i="14"/>
  <c r="I106" i="14"/>
  <c r="I105" i="14"/>
  <c r="I104" i="14"/>
  <c r="I103" i="14"/>
  <c r="C96" i="14" s="1"/>
  <c r="C103" i="14"/>
  <c r="E103" i="14" s="1"/>
  <c r="I102" i="14"/>
  <c r="C102" i="14"/>
  <c r="E102" i="14" s="1"/>
  <c r="I101" i="14"/>
  <c r="C101" i="14"/>
  <c r="E101" i="14" s="1"/>
  <c r="C97" i="14"/>
  <c r="F90" i="14"/>
  <c r="H90" i="14" s="1"/>
  <c r="E90" i="14"/>
  <c r="C90" i="14"/>
  <c r="L89" i="14"/>
  <c r="K89" i="14"/>
  <c r="J89" i="14"/>
  <c r="I89" i="14"/>
  <c r="H89" i="14"/>
  <c r="F89" i="14"/>
  <c r="C86" i="14"/>
  <c r="H86" i="14" s="1"/>
  <c r="C85" i="14"/>
  <c r="C84" i="14"/>
  <c r="C89" i="14" s="1"/>
  <c r="E89" i="14" s="1"/>
  <c r="C83" i="14"/>
  <c r="B140" i="15"/>
  <c r="B139" i="15"/>
  <c r="B138" i="15"/>
  <c r="B137" i="15"/>
  <c r="B136" i="15"/>
  <c r="C135" i="15"/>
  <c r="B135" i="15"/>
  <c r="C134" i="15"/>
  <c r="C133" i="15"/>
  <c r="I124" i="15" a="1"/>
  <c r="I124" i="15" s="1"/>
  <c r="I108" i="15"/>
  <c r="I107" i="15"/>
  <c r="I106" i="15"/>
  <c r="I105" i="15"/>
  <c r="C96" i="15" s="1"/>
  <c r="I104" i="15"/>
  <c r="I103" i="15"/>
  <c r="C103" i="15"/>
  <c r="E103" i="15" s="1"/>
  <c r="I102" i="15"/>
  <c r="C94" i="15" s="1"/>
  <c r="C102" i="15"/>
  <c r="E102" i="15" s="1"/>
  <c r="I101" i="15"/>
  <c r="C101" i="15"/>
  <c r="E101" i="15" s="1"/>
  <c r="F90" i="15"/>
  <c r="E90" i="15"/>
  <c r="C90" i="15"/>
  <c r="L89" i="15"/>
  <c r="K89" i="15"/>
  <c r="J89" i="15"/>
  <c r="I89" i="15"/>
  <c r="H89" i="15"/>
  <c r="F89" i="15"/>
  <c r="C86" i="15"/>
  <c r="F86" i="15" s="1"/>
  <c r="C85" i="15"/>
  <c r="C84" i="15"/>
  <c r="C83" i="15"/>
  <c r="B140" i="16"/>
  <c r="B139" i="16"/>
  <c r="B138" i="16"/>
  <c r="B137" i="16"/>
  <c r="B136" i="16"/>
  <c r="C135" i="16"/>
  <c r="B135" i="16"/>
  <c r="C134" i="16"/>
  <c r="C133" i="16"/>
  <c r="I124" i="16" a="1"/>
  <c r="I124" i="16" s="1"/>
  <c r="I108" i="16"/>
  <c r="I107" i="16"/>
  <c r="I106" i="16"/>
  <c r="I105" i="16"/>
  <c r="I104" i="16"/>
  <c r="I103" i="16"/>
  <c r="C96" i="16" s="1"/>
  <c r="C103" i="16"/>
  <c r="E103" i="16" s="1"/>
  <c r="I102" i="16"/>
  <c r="C102" i="16"/>
  <c r="E102" i="16" s="1"/>
  <c r="I101" i="16"/>
  <c r="C101" i="16"/>
  <c r="E101" i="16" s="1"/>
  <c r="C97" i="16"/>
  <c r="F90" i="16"/>
  <c r="H90" i="16" s="1"/>
  <c r="E90" i="16"/>
  <c r="C90" i="16"/>
  <c r="L89" i="16"/>
  <c r="K89" i="16"/>
  <c r="J89" i="16"/>
  <c r="I89" i="16"/>
  <c r="H89" i="16"/>
  <c r="F89" i="16"/>
  <c r="C86" i="16"/>
  <c r="C85" i="16"/>
  <c r="C84" i="16"/>
  <c r="C89" i="16" s="1"/>
  <c r="E89" i="16" s="1"/>
  <c r="C83" i="16"/>
  <c r="B140" i="17"/>
  <c r="B139" i="17"/>
  <c r="B138" i="17"/>
  <c r="B137" i="17"/>
  <c r="B136" i="17"/>
  <c r="C135" i="17"/>
  <c r="C134" i="17"/>
  <c r="C133" i="17"/>
  <c r="B133" i="17"/>
  <c r="I124" i="17" a="1"/>
  <c r="I124" i="17" s="1"/>
  <c r="I108" i="17"/>
  <c r="I107" i="17"/>
  <c r="I106" i="17"/>
  <c r="I105" i="17"/>
  <c r="I104" i="17"/>
  <c r="I103" i="17"/>
  <c r="C96" i="17" s="1"/>
  <c r="C103" i="17"/>
  <c r="E103" i="17" s="1"/>
  <c r="I102" i="17"/>
  <c r="C102" i="17"/>
  <c r="E102" i="17" s="1"/>
  <c r="I101" i="17"/>
  <c r="C101" i="17"/>
  <c r="E101" i="17" s="1"/>
  <c r="F90" i="17"/>
  <c r="E90" i="17"/>
  <c r="C90" i="17"/>
  <c r="L89" i="17"/>
  <c r="K89" i="17"/>
  <c r="J89" i="17"/>
  <c r="I89" i="17"/>
  <c r="H89" i="17"/>
  <c r="F89" i="17"/>
  <c r="C86" i="17"/>
  <c r="H86" i="17" s="1"/>
  <c r="C85" i="17"/>
  <c r="C84" i="17"/>
  <c r="C89" i="17" s="1"/>
  <c r="E89" i="17" s="1"/>
  <c r="C83" i="17"/>
  <c r="J127" i="6" a="1"/>
  <c r="H126" i="12" a="1"/>
  <c r="J126" i="8" a="1"/>
  <c r="J128" i="2" a="1"/>
  <c r="H128" i="15" a="1"/>
  <c r="G122" i="16" a="1"/>
  <c r="C98" i="3" a="1"/>
  <c r="H126" i="5" a="1"/>
  <c r="G122" i="10" a="1"/>
  <c r="J126" i="1" a="1"/>
  <c r="H127" i="2" a="1"/>
  <c r="J128" i="12" a="1"/>
  <c r="K128" i="6" a="1"/>
  <c r="G122" i="12" a="1"/>
  <c r="H126" i="17" a="1"/>
  <c r="C98" i="15" a="1"/>
  <c r="H128" i="3" a="1"/>
  <c r="K126" i="9" a="1"/>
  <c r="J127" i="1" a="1"/>
  <c r="K127" i="10" a="1"/>
  <c r="H125" i="15" a="1"/>
  <c r="J128" i="17" a="1"/>
  <c r="K126" i="1" a="1"/>
  <c r="K126" i="8" a="1"/>
  <c r="J128" i="10" a="1"/>
  <c r="J128" i="7" a="1"/>
  <c r="H128" i="2" a="1"/>
  <c r="K126" i="16" a="1"/>
  <c r="K125" i="17" a="1"/>
  <c r="J128" i="9" a="1"/>
  <c r="K125" i="2" a="1"/>
  <c r="K125" i="10" a="1"/>
  <c r="H125" i="14" a="1"/>
  <c r="G118" i="15" a="1"/>
  <c r="K127" i="9" a="1"/>
  <c r="J125" i="13" a="1"/>
  <c r="J126" i="15" a="1"/>
  <c r="K128" i="1" a="1"/>
  <c r="H126" i="8" a="1"/>
  <c r="J126" i="9" a="1"/>
  <c r="H128" i="14" a="1"/>
  <c r="G122" i="8" a="1"/>
  <c r="H125" i="13" a="1"/>
  <c r="J127" i="12" a="1"/>
  <c r="J125" i="2" a="1"/>
  <c r="K127" i="17" a="1"/>
  <c r="K127" i="14" a="1"/>
  <c r="K127" i="7" a="1"/>
  <c r="K127" i="16" a="1"/>
  <c r="C98" i="9" a="1"/>
  <c r="H125" i="2" a="1"/>
  <c r="K128" i="7" a="1"/>
  <c r="H125" i="8" a="1"/>
  <c r="J126" i="12" a="1"/>
  <c r="G122" i="1" a="1"/>
  <c r="J128" i="1" a="1"/>
  <c r="J125" i="14" a="1"/>
  <c r="J126" i="2" a="1"/>
  <c r="H126" i="6" a="1"/>
  <c r="H125" i="7" a="1"/>
  <c r="H128" i="9" a="1"/>
  <c r="K128" i="12" a="1"/>
  <c r="H128" i="13" a="1"/>
  <c r="K125" i="8" a="1"/>
  <c r="J128" i="5" a="1"/>
  <c r="K128" i="17" a="1"/>
  <c r="G122" i="9" a="1"/>
  <c r="H126" i="15" a="1"/>
  <c r="J125" i="12" a="1"/>
  <c r="K128" i="16" a="1"/>
  <c r="J125" i="9" a="1"/>
  <c r="J125" i="17" a="1"/>
  <c r="K125" i="7" a="1"/>
  <c r="J127" i="13" a="1"/>
  <c r="K127" i="3" a="1"/>
  <c r="K128" i="8" a="1"/>
  <c r="J126" i="5" a="1"/>
  <c r="H127" i="10" a="1"/>
  <c r="H126" i="2" a="1"/>
  <c r="J126" i="3" a="1"/>
  <c r="J125" i="6" a="1"/>
  <c r="K127" i="4" a="1"/>
  <c r="H126" i="10" a="1"/>
  <c r="G122" i="3" a="1"/>
  <c r="J125" i="11" a="1"/>
  <c r="H127" i="7" a="1"/>
  <c r="J126" i="16" a="1"/>
  <c r="H128" i="17" a="1"/>
  <c r="J127" i="9" a="1"/>
  <c r="G122" i="6" a="1"/>
  <c r="H127" i="17" a="1"/>
  <c r="K125" i="16" a="1"/>
  <c r="K128" i="14" a="1"/>
  <c r="J127" i="7" a="1"/>
  <c r="H127" i="11" a="1"/>
  <c r="K127" i="15" a="1"/>
  <c r="K125" i="12" a="1"/>
  <c r="K125" i="3" a="1"/>
  <c r="K125" i="13" a="1"/>
  <c r="H128" i="1" a="1"/>
  <c r="H125" i="6" a="1"/>
  <c r="H125" i="1" a="1"/>
  <c r="H127" i="3" a="1"/>
  <c r="J126" i="4" a="1"/>
  <c r="K127" i="6" a="1"/>
  <c r="H127" i="6" a="1"/>
  <c r="K126" i="6" a="1"/>
  <c r="J128" i="16" a="1"/>
  <c r="H128" i="4" a="1"/>
  <c r="H128" i="6" a="1"/>
  <c r="H125" i="5" a="1"/>
  <c r="K128" i="2" a="1"/>
  <c r="H128" i="12" a="1"/>
  <c r="J127" i="14" a="1"/>
  <c r="H127" i="15" a="1"/>
  <c r="H126" i="14" a="1"/>
  <c r="K126" i="15" a="1"/>
  <c r="K125" i="4" a="1"/>
  <c r="J128" i="11" a="1"/>
  <c r="H125" i="16" a="1"/>
  <c r="G122" i="14" a="1"/>
  <c r="H125" i="17" a="1"/>
  <c r="J125" i="3" a="1"/>
  <c r="J125" i="10" a="1"/>
  <c r="K126" i="17" a="1"/>
  <c r="J128" i="15" a="1"/>
  <c r="J126" i="7" a="1"/>
  <c r="J127" i="2" a="1"/>
  <c r="H128" i="5" a="1"/>
  <c r="J127" i="10" a="1"/>
  <c r="J127" i="3" a="1"/>
  <c r="J127" i="8" a="1"/>
  <c r="K126" i="7" a="1"/>
  <c r="J128" i="8" a="1"/>
  <c r="K128" i="9" a="1"/>
  <c r="H126" i="1" a="1"/>
  <c r="K126" i="2" a="1"/>
  <c r="K127" i="2" a="1"/>
  <c r="K126" i="12" a="1"/>
  <c r="K126" i="4" a="1"/>
  <c r="H128" i="10" a="1"/>
  <c r="J126" i="14" a="1"/>
  <c r="G122" i="17" a="1"/>
  <c r="K128" i="15" a="1"/>
  <c r="H127" i="8" a="1"/>
  <c r="G122" i="4" a="1"/>
  <c r="H127" i="12" a="1"/>
  <c r="J127" i="11" a="1"/>
  <c r="J126" i="13" a="1"/>
  <c r="G122" i="13" a="1"/>
  <c r="H126" i="9" a="1"/>
  <c r="J128" i="13" a="1"/>
  <c r="J125" i="5" a="1"/>
  <c r="K127" i="1" a="1"/>
  <c r="J125" i="4" a="1"/>
  <c r="K125" i="9" a="1"/>
  <c r="K125" i="5" a="1"/>
  <c r="K125" i="6" a="1"/>
  <c r="H126" i="13" a="1"/>
  <c r="H125" i="10" a="1"/>
  <c r="C98" i="8" a="1"/>
  <c r="H126" i="4" a="1"/>
  <c r="H128" i="7" a="1"/>
  <c r="J126" i="11" a="1"/>
  <c r="K128" i="3" a="1"/>
  <c r="H125" i="9" a="1"/>
  <c r="K127" i="13" a="1"/>
  <c r="C98" i="1" a="1"/>
  <c r="J127" i="5" a="1"/>
  <c r="H127" i="4" a="1"/>
  <c r="J128" i="3" a="1"/>
  <c r="H127" i="1" a="1"/>
  <c r="H128" i="16" a="1"/>
  <c r="H125" i="4" a="1"/>
  <c r="K125" i="11" a="1"/>
  <c r="G122" i="15" a="1"/>
  <c r="J127" i="17" a="1"/>
  <c r="H128" i="11" a="1"/>
  <c r="H125" i="12" a="1"/>
  <c r="K125" i="15" a="1"/>
  <c r="J128" i="14" a="1"/>
  <c r="J125" i="8" a="1"/>
  <c r="H127" i="16" a="1"/>
  <c r="H125" i="3" a="1"/>
  <c r="C98" i="2" a="1"/>
  <c r="K127" i="8" a="1"/>
  <c r="J125" i="7" a="1"/>
  <c r="G122" i="2" a="1"/>
  <c r="K126" i="3" a="1"/>
  <c r="J127" i="16" a="1"/>
  <c r="H127" i="5" a="1"/>
  <c r="H128" i="8" a="1"/>
  <c r="K125" i="14" a="1"/>
  <c r="H126" i="16" a="1"/>
  <c r="J126" i="6" a="1"/>
  <c r="J125" i="15" a="1"/>
  <c r="J128" i="4" a="1"/>
  <c r="H126" i="7" a="1"/>
  <c r="K126" i="13" a="1"/>
  <c r="K128" i="4" a="1"/>
  <c r="G122" i="11" a="1"/>
  <c r="H126" i="3" a="1"/>
  <c r="K126" i="5" a="1"/>
  <c r="J126" i="10" a="1"/>
  <c r="K126" i="11" a="1"/>
  <c r="J125" i="1" a="1"/>
  <c r="K127" i="5" a="1"/>
  <c r="H125" i="11" a="1"/>
  <c r="J125" i="16" a="1"/>
  <c r="K128" i="11" a="1"/>
  <c r="K127" i="11" a="1"/>
  <c r="C98" i="16" a="1"/>
  <c r="J128" i="6" a="1"/>
  <c r="K128" i="13" a="1"/>
  <c r="H127" i="13" a="1"/>
  <c r="H127" i="14" a="1"/>
  <c r="G121" i="15" a="1"/>
  <c r="K128" i="10" a="1"/>
  <c r="H126" i="11" a="1"/>
  <c r="K128" i="5" a="1"/>
  <c r="J126" i="17" a="1"/>
  <c r="H127" i="9" a="1"/>
  <c r="J127" i="4" a="1"/>
  <c r="K126" i="10" a="1"/>
  <c r="K126" i="14" a="1"/>
  <c r="G122" i="7" a="1"/>
  <c r="K127" i="12" a="1"/>
  <c r="J127" i="15" a="1"/>
  <c r="K125" i="1" a="1"/>
  <c r="E102" i="8" l="1"/>
  <c r="C96" i="8"/>
  <c r="E103" i="7"/>
  <c r="C96" i="7"/>
  <c r="C88" i="15"/>
  <c r="C88" i="13"/>
  <c r="C96" i="12"/>
  <c r="C88" i="12"/>
  <c r="E103" i="10"/>
  <c r="C96" i="10"/>
  <c r="C88" i="10"/>
  <c r="C96" i="2"/>
  <c r="H86" i="1"/>
  <c r="C96" i="1"/>
  <c r="H90" i="17"/>
  <c r="C88" i="17"/>
  <c r="F86" i="17"/>
  <c r="C81" i="17"/>
  <c r="B135" i="17" s="1"/>
  <c r="I90" i="17"/>
  <c r="C81" i="16"/>
  <c r="C82" i="16" s="1"/>
  <c r="F86" i="16"/>
  <c r="H86" i="16"/>
  <c r="C88" i="16"/>
  <c r="I90" i="16"/>
  <c r="H90" i="15"/>
  <c r="C81" i="15"/>
  <c r="H86" i="15"/>
  <c r="K90" i="15"/>
  <c r="L90" i="15"/>
  <c r="C88" i="14"/>
  <c r="C81" i="14"/>
  <c r="C82" i="14" s="1"/>
  <c r="I90" i="14"/>
  <c r="J90" i="14"/>
  <c r="H90" i="13"/>
  <c r="C81" i="13"/>
  <c r="C82" i="13" s="1"/>
  <c r="I90" i="13"/>
  <c r="H90" i="12"/>
  <c r="C81" i="12"/>
  <c r="I90" i="12"/>
  <c r="H90" i="11"/>
  <c r="C88" i="11"/>
  <c r="F86" i="11"/>
  <c r="C81" i="11"/>
  <c r="D81" i="11" s="1"/>
  <c r="I90" i="11"/>
  <c r="H90" i="10"/>
  <c r="C81" i="10"/>
  <c r="C82" i="10" s="1"/>
  <c r="I90" i="10"/>
  <c r="J90" i="10"/>
  <c r="C81" i="9"/>
  <c r="H90" i="9"/>
  <c r="C88" i="9"/>
  <c r="H86" i="9"/>
  <c r="F86" i="9"/>
  <c r="I90" i="9"/>
  <c r="K90" i="9"/>
  <c r="C88" i="8"/>
  <c r="H90" i="8"/>
  <c r="C81" i="8"/>
  <c r="C82" i="8" s="1"/>
  <c r="F86" i="8"/>
  <c r="H86" i="8"/>
  <c r="I90" i="8"/>
  <c r="C88" i="7"/>
  <c r="C81" i="7"/>
  <c r="C82" i="7" s="1"/>
  <c r="F86" i="7"/>
  <c r="I90" i="7"/>
  <c r="C88" i="6"/>
  <c r="F86" i="6"/>
  <c r="H90" i="6"/>
  <c r="C81" i="6"/>
  <c r="C82" i="6" s="1"/>
  <c r="I90" i="6"/>
  <c r="C81" i="5"/>
  <c r="D81" i="5" s="1"/>
  <c r="C88" i="5"/>
  <c r="F86" i="5"/>
  <c r="B133" i="5"/>
  <c r="I90" i="5"/>
  <c r="H90" i="4"/>
  <c r="C81" i="4"/>
  <c r="C88" i="4"/>
  <c r="F86" i="4"/>
  <c r="B135" i="4"/>
  <c r="I90" i="4"/>
  <c r="C88" i="3"/>
  <c r="H90" i="3"/>
  <c r="C81" i="3"/>
  <c r="D81" i="3" s="1"/>
  <c r="F86" i="3"/>
  <c r="B134" i="3"/>
  <c r="I90" i="3"/>
  <c r="K90" i="3"/>
  <c r="C81" i="2"/>
  <c r="H90" i="2"/>
  <c r="C88" i="2"/>
  <c r="I90" i="2"/>
  <c r="K90" i="2"/>
  <c r="J90" i="2"/>
  <c r="C88" i="1"/>
  <c r="C81" i="1"/>
  <c r="B135" i="1" s="1"/>
  <c r="F86" i="1"/>
  <c r="I90" i="1"/>
  <c r="J90" i="1"/>
  <c r="G122" i="1"/>
  <c r="H122" i="1" s="1"/>
  <c r="C98" i="1"/>
  <c r="J127" i="1"/>
  <c r="J128" i="1"/>
  <c r="H125" i="1"/>
  <c r="J126" i="1"/>
  <c r="K128" i="1"/>
  <c r="K127" i="1"/>
  <c r="H127" i="1"/>
  <c r="J125" i="1"/>
  <c r="K126" i="1"/>
  <c r="H126" i="1"/>
  <c r="K125" i="1"/>
  <c r="H128" i="1"/>
  <c r="K90" i="1"/>
  <c r="L90" i="1"/>
  <c r="C93" i="1"/>
  <c r="C94" i="1"/>
  <c r="C95" i="1"/>
  <c r="C87" i="1"/>
  <c r="G122" i="2"/>
  <c r="H122" i="2" s="1"/>
  <c r="J128" i="2"/>
  <c r="C98" i="2"/>
  <c r="J127" i="2"/>
  <c r="H125" i="2"/>
  <c r="J126" i="2"/>
  <c r="K128" i="2"/>
  <c r="K127" i="2"/>
  <c r="H127" i="2"/>
  <c r="J125" i="2"/>
  <c r="K126" i="2"/>
  <c r="K125" i="2"/>
  <c r="H126" i="2"/>
  <c r="H128" i="2"/>
  <c r="L90" i="2"/>
  <c r="C93" i="2"/>
  <c r="C94" i="2"/>
  <c r="F86" i="2"/>
  <c r="C95" i="2"/>
  <c r="C87" i="2"/>
  <c r="F87" i="2" s="1"/>
  <c r="G122" i="3"/>
  <c r="H122" i="3" s="1"/>
  <c r="H127" i="3"/>
  <c r="H126" i="3"/>
  <c r="J128" i="3"/>
  <c r="H125" i="3"/>
  <c r="J126" i="3"/>
  <c r="K128" i="3"/>
  <c r="J127" i="3"/>
  <c r="K127" i="3"/>
  <c r="J125" i="3"/>
  <c r="K126" i="3"/>
  <c r="C98" i="3"/>
  <c r="K125" i="3"/>
  <c r="H128" i="3"/>
  <c r="J90" i="3"/>
  <c r="L90" i="3"/>
  <c r="C93" i="3"/>
  <c r="C94" i="3"/>
  <c r="C95" i="3"/>
  <c r="C87" i="3"/>
  <c r="F87" i="3" s="1"/>
  <c r="G122" i="4"/>
  <c r="H122" i="4" s="1"/>
  <c r="H126" i="4"/>
  <c r="J128" i="4"/>
  <c r="H127" i="4"/>
  <c r="J127" i="4"/>
  <c r="H125" i="4"/>
  <c r="J126" i="4"/>
  <c r="K128" i="4"/>
  <c r="K127" i="4"/>
  <c r="J125" i="4"/>
  <c r="K126" i="4"/>
  <c r="K125" i="4"/>
  <c r="H128" i="4"/>
  <c r="J90" i="4"/>
  <c r="K90" i="4"/>
  <c r="L90" i="4"/>
  <c r="C93" i="4"/>
  <c r="C94" i="4"/>
  <c r="C95" i="4"/>
  <c r="C87" i="4"/>
  <c r="F87" i="4" s="1"/>
  <c r="H126" i="5"/>
  <c r="J128" i="5"/>
  <c r="J127" i="5"/>
  <c r="H125" i="5"/>
  <c r="J126" i="5"/>
  <c r="K128" i="5"/>
  <c r="H127" i="5"/>
  <c r="K127" i="5"/>
  <c r="J125" i="5"/>
  <c r="K126" i="5"/>
  <c r="K125" i="5"/>
  <c r="H128" i="5"/>
  <c r="J90" i="5"/>
  <c r="K90" i="5"/>
  <c r="L90" i="5"/>
  <c r="C93" i="5"/>
  <c r="C94" i="5"/>
  <c r="C95" i="5"/>
  <c r="C87" i="5"/>
  <c r="F87" i="5" s="1"/>
  <c r="G122" i="6"/>
  <c r="H122" i="6" s="1"/>
  <c r="H126" i="6"/>
  <c r="J128" i="6"/>
  <c r="H127" i="6"/>
  <c r="J127" i="6"/>
  <c r="H125" i="6"/>
  <c r="J126" i="6"/>
  <c r="K128" i="6"/>
  <c r="K127" i="6"/>
  <c r="J125" i="6"/>
  <c r="K126" i="6"/>
  <c r="K125" i="6"/>
  <c r="H128" i="6"/>
  <c r="J90" i="6"/>
  <c r="K90" i="6"/>
  <c r="L90" i="6"/>
  <c r="C93" i="6"/>
  <c r="C94" i="6"/>
  <c r="C95" i="6"/>
  <c r="C87" i="6"/>
  <c r="F87" i="6" s="1"/>
  <c r="G122" i="7"/>
  <c r="H122" i="7" s="1"/>
  <c r="H126" i="7"/>
  <c r="J128" i="7"/>
  <c r="J127" i="7"/>
  <c r="H125" i="7"/>
  <c r="J126" i="7"/>
  <c r="K128" i="7"/>
  <c r="H127" i="7"/>
  <c r="K127" i="7"/>
  <c r="J125" i="7"/>
  <c r="K126" i="7"/>
  <c r="K125" i="7"/>
  <c r="H128" i="7"/>
  <c r="J90" i="7"/>
  <c r="K90" i="7"/>
  <c r="L90" i="7"/>
  <c r="C93" i="7"/>
  <c r="C94" i="7"/>
  <c r="C95" i="7"/>
  <c r="C87" i="7"/>
  <c r="F87" i="7" s="1"/>
  <c r="G122" i="8"/>
  <c r="H122" i="8" s="1"/>
  <c r="C98" i="8"/>
  <c r="H126" i="8"/>
  <c r="J128" i="8"/>
  <c r="H127" i="8"/>
  <c r="J127" i="8"/>
  <c r="H125" i="8"/>
  <c r="J126" i="8"/>
  <c r="K128" i="8"/>
  <c r="K127" i="8"/>
  <c r="J125" i="8"/>
  <c r="K126" i="8"/>
  <c r="K125" i="8"/>
  <c r="H128" i="8"/>
  <c r="J90" i="8"/>
  <c r="K90" i="8"/>
  <c r="L90" i="8"/>
  <c r="C93" i="8"/>
  <c r="C94" i="8"/>
  <c r="C95" i="8"/>
  <c r="C87" i="8"/>
  <c r="F87" i="8" s="1"/>
  <c r="G122" i="9"/>
  <c r="H122" i="9" s="1"/>
  <c r="H127" i="9"/>
  <c r="H126" i="9"/>
  <c r="J128" i="9"/>
  <c r="C98" i="9"/>
  <c r="H125" i="9"/>
  <c r="J126" i="9"/>
  <c r="K128" i="9"/>
  <c r="K127" i="9"/>
  <c r="J125" i="9"/>
  <c r="K126" i="9"/>
  <c r="J127" i="9"/>
  <c r="K125" i="9"/>
  <c r="H128" i="9"/>
  <c r="J90" i="9"/>
  <c r="L90" i="9"/>
  <c r="C93" i="9"/>
  <c r="C94" i="9"/>
  <c r="C95" i="9"/>
  <c r="C87" i="9"/>
  <c r="F87" i="9" s="1"/>
  <c r="G122" i="10"/>
  <c r="H122" i="10" s="1"/>
  <c r="J127" i="10"/>
  <c r="H125" i="10"/>
  <c r="J126" i="10"/>
  <c r="K128" i="10"/>
  <c r="J128" i="10"/>
  <c r="K127" i="10"/>
  <c r="J125" i="10"/>
  <c r="K126" i="10"/>
  <c r="H127" i="10"/>
  <c r="K125" i="10"/>
  <c r="H126" i="10"/>
  <c r="H128" i="10"/>
  <c r="K90" i="10"/>
  <c r="L90" i="10"/>
  <c r="C93" i="10"/>
  <c r="C94" i="10"/>
  <c r="F86" i="10"/>
  <c r="C95" i="10"/>
  <c r="C87" i="10"/>
  <c r="F87" i="10" s="1"/>
  <c r="G122" i="11"/>
  <c r="H122" i="11" s="1"/>
  <c r="H126" i="11"/>
  <c r="J128" i="11"/>
  <c r="J127" i="11"/>
  <c r="H127" i="11"/>
  <c r="H125" i="11"/>
  <c r="J126" i="11"/>
  <c r="K128" i="11"/>
  <c r="K127" i="11"/>
  <c r="J125" i="11"/>
  <c r="K126" i="11"/>
  <c r="K125" i="11"/>
  <c r="H128" i="11"/>
  <c r="J90" i="11"/>
  <c r="K90" i="11"/>
  <c r="L90" i="11"/>
  <c r="C93" i="11"/>
  <c r="C94" i="11"/>
  <c r="C95" i="11"/>
  <c r="C87" i="11"/>
  <c r="F87" i="11" s="1"/>
  <c r="G122" i="12"/>
  <c r="H122" i="12" s="1"/>
  <c r="H127" i="12"/>
  <c r="H126" i="12"/>
  <c r="J128" i="12"/>
  <c r="J127" i="12"/>
  <c r="H125" i="12"/>
  <c r="J126" i="12"/>
  <c r="K128" i="12"/>
  <c r="K127" i="12"/>
  <c r="J125" i="12"/>
  <c r="K126" i="12"/>
  <c r="K125" i="12"/>
  <c r="H128" i="12"/>
  <c r="D81" i="12"/>
  <c r="J90" i="12"/>
  <c r="K90" i="12"/>
  <c r="L90" i="12"/>
  <c r="C93" i="12"/>
  <c r="C94" i="12"/>
  <c r="F86" i="12"/>
  <c r="C95" i="12"/>
  <c r="C87" i="12"/>
  <c r="F87" i="12" s="1"/>
  <c r="G122" i="13"/>
  <c r="H122" i="13" s="1"/>
  <c r="H126" i="13"/>
  <c r="J128" i="13"/>
  <c r="H127" i="13"/>
  <c r="J127" i="13"/>
  <c r="H125" i="13"/>
  <c r="J126" i="13"/>
  <c r="K128" i="13"/>
  <c r="K127" i="13"/>
  <c r="J125" i="13"/>
  <c r="K126" i="13"/>
  <c r="K125" i="13"/>
  <c r="H128" i="13"/>
  <c r="D81" i="13"/>
  <c r="J90" i="13"/>
  <c r="K90" i="13"/>
  <c r="L90" i="13"/>
  <c r="C93" i="13"/>
  <c r="C94" i="13"/>
  <c r="F86" i="13"/>
  <c r="C95" i="13"/>
  <c r="C87" i="13"/>
  <c r="F87" i="13" s="1"/>
  <c r="G122" i="14"/>
  <c r="H122" i="14" s="1"/>
  <c r="J127" i="14"/>
  <c r="J128" i="14"/>
  <c r="H125" i="14"/>
  <c r="J126" i="14"/>
  <c r="K128" i="14"/>
  <c r="K127" i="14"/>
  <c r="J125" i="14"/>
  <c r="K126" i="14"/>
  <c r="H126" i="14"/>
  <c r="H127" i="14"/>
  <c r="K125" i="14"/>
  <c r="H128" i="14"/>
  <c r="K90" i="14"/>
  <c r="L90" i="14"/>
  <c r="C93" i="14"/>
  <c r="C94" i="14"/>
  <c r="F86" i="14"/>
  <c r="C95" i="14"/>
  <c r="C87" i="14"/>
  <c r="F87" i="14" s="1"/>
  <c r="G122" i="15"/>
  <c r="H122" i="15" s="1"/>
  <c r="J127" i="15"/>
  <c r="H127" i="15"/>
  <c r="G118" i="15"/>
  <c r="H118" i="15" s="1"/>
  <c r="H126" i="15"/>
  <c r="J128" i="15"/>
  <c r="K128" i="15"/>
  <c r="K127" i="15"/>
  <c r="C98" i="15"/>
  <c r="J125" i="15"/>
  <c r="K126" i="15"/>
  <c r="J126" i="15"/>
  <c r="H125" i="15"/>
  <c r="K125" i="15"/>
  <c r="G121" i="15"/>
  <c r="H121" i="15" s="1"/>
  <c r="H128" i="15"/>
  <c r="C89" i="15"/>
  <c r="E89" i="15" s="1"/>
  <c r="I90" i="15"/>
  <c r="C97" i="15"/>
  <c r="J90" i="15"/>
  <c r="C93" i="15"/>
  <c r="C95" i="15"/>
  <c r="C87" i="15"/>
  <c r="F87" i="15" s="1"/>
  <c r="G122" i="16"/>
  <c r="H122" i="16" s="1"/>
  <c r="C98" i="16"/>
  <c r="H126" i="16"/>
  <c r="J128" i="16"/>
  <c r="J127" i="16"/>
  <c r="H127" i="16"/>
  <c r="H125" i="16"/>
  <c r="J126" i="16"/>
  <c r="K128" i="16"/>
  <c r="K127" i="16"/>
  <c r="J125" i="16"/>
  <c r="K126" i="16"/>
  <c r="K125" i="16"/>
  <c r="H128" i="16"/>
  <c r="J90" i="16"/>
  <c r="K90" i="16"/>
  <c r="L90" i="16"/>
  <c r="C93" i="16"/>
  <c r="C94" i="16"/>
  <c r="C95" i="16"/>
  <c r="C87" i="16"/>
  <c r="F87" i="16" s="1"/>
  <c r="G122" i="17"/>
  <c r="H122" i="17" s="1"/>
  <c r="H126" i="17"/>
  <c r="J128" i="17"/>
  <c r="H127" i="17"/>
  <c r="J127" i="17"/>
  <c r="H125" i="17"/>
  <c r="J126" i="17"/>
  <c r="K128" i="17"/>
  <c r="K127" i="17"/>
  <c r="J125" i="17"/>
  <c r="K126" i="17"/>
  <c r="K125" i="17"/>
  <c r="H128" i="17"/>
  <c r="D81" i="17"/>
  <c r="J90" i="17"/>
  <c r="K90" i="17"/>
  <c r="L90" i="17"/>
  <c r="C97" i="17"/>
  <c r="C93" i="17"/>
  <c r="C94" i="17"/>
  <c r="C95" i="17"/>
  <c r="C87" i="17"/>
  <c r="F87" i="17" s="1"/>
  <c r="G120" i="13" a="1"/>
  <c r="D117" i="11" a="1"/>
  <c r="D120" i="3" a="1"/>
  <c r="H124" i="17" a="1"/>
  <c r="G120" i="1" a="1"/>
  <c r="C117" i="12" a="1"/>
  <c r="K124" i="14" a="1"/>
  <c r="G120" i="6" a="1"/>
  <c r="H124" i="15" a="1"/>
  <c r="G121" i="3" a="1"/>
  <c r="K124" i="10" a="1"/>
  <c r="G121" i="11" a="1"/>
  <c r="H124" i="1" a="1"/>
  <c r="H124" i="2" a="1"/>
  <c r="D117" i="2" a="1"/>
  <c r="G121" i="2" a="1"/>
  <c r="G121" i="9" a="1"/>
  <c r="H124" i="8" a="1"/>
  <c r="G118" i="7" a="1"/>
  <c r="C98" i="14" a="1"/>
  <c r="D122" i="14" a="1"/>
  <c r="G121" i="8" a="1"/>
  <c r="G120" i="8" a="1"/>
  <c r="K124" i="11" a="1"/>
  <c r="C98" i="12" a="1"/>
  <c r="J124" i="3" a="1"/>
  <c r="C98" i="7" a="1"/>
  <c r="G118" i="4" a="1"/>
  <c r="K124" i="2" a="1"/>
  <c r="J124" i="11" a="1"/>
  <c r="C117" i="5" a="1"/>
  <c r="G118" i="9" a="1"/>
  <c r="C117" i="2" a="1"/>
  <c r="C117" i="10" a="1"/>
  <c r="K124" i="3" a="1"/>
  <c r="G121" i="17" a="1"/>
  <c r="D117" i="3" a="1"/>
  <c r="D117" i="16" a="1"/>
  <c r="G119" i="17" a="1"/>
  <c r="C117" i="4" a="1"/>
  <c r="G118" i="17" a="1"/>
  <c r="C117" i="16" a="1"/>
  <c r="K124" i="12" a="1"/>
  <c r="K124" i="1" a="1"/>
  <c r="H124" i="9" a="1"/>
  <c r="K124" i="16" a="1"/>
  <c r="J124" i="7" a="1"/>
  <c r="G121" i="10" a="1"/>
  <c r="J124" i="10" a="1"/>
  <c r="G121" i="12" a="1"/>
  <c r="C117" i="17" a="1"/>
  <c r="G118" i="11" a="1"/>
  <c r="K124" i="5" a="1"/>
  <c r="D117" i="8" a="1"/>
  <c r="G120" i="15" a="1"/>
  <c r="C117" i="1" a="1"/>
  <c r="G120" i="11" a="1"/>
  <c r="G118" i="14" a="1"/>
  <c r="G119" i="2" a="1"/>
  <c r="G120" i="17" a="1"/>
  <c r="D117" i="15" a="1"/>
  <c r="C98" i="4" a="1"/>
  <c r="J124" i="9" a="1"/>
  <c r="H124" i="12" a="1"/>
  <c r="J124" i="14" a="1"/>
  <c r="C98" i="5" a="1"/>
  <c r="C98" i="11" a="1"/>
  <c r="H124" i="5" a="1"/>
  <c r="C117" i="9" a="1"/>
  <c r="K124" i="13" a="1"/>
  <c r="D119" i="14" a="1"/>
  <c r="G119" i="1" a="1"/>
  <c r="G120" i="14" a="1"/>
  <c r="G118" i="8" a="1"/>
  <c r="C117" i="13" a="1"/>
  <c r="H124" i="4" a="1"/>
  <c r="C117" i="6" a="1"/>
  <c r="G121" i="7" a="1"/>
  <c r="D118" i="14" a="1"/>
  <c r="J124" i="12" a="1"/>
  <c r="G119" i="16" a="1"/>
  <c r="G118" i="2" a="1"/>
  <c r="C117" i="11" a="1"/>
  <c r="C98" i="13" a="1"/>
  <c r="D117" i="9" a="1"/>
  <c r="J124" i="5" a="1"/>
  <c r="C117" i="3" a="1"/>
  <c r="D117" i="4" a="1"/>
  <c r="H124" i="11" a="1"/>
  <c r="J124" i="13" a="1"/>
  <c r="G120" i="7" a="1"/>
  <c r="J124" i="16" a="1"/>
  <c r="G119" i="8" a="1"/>
  <c r="G121" i="4" a="1"/>
  <c r="K124" i="4" a="1"/>
  <c r="G118" i="6" a="1"/>
  <c r="G119" i="9" a="1"/>
  <c r="G119" i="7" a="1"/>
  <c r="H124" i="6" a="1"/>
  <c r="G120" i="3" a="1"/>
  <c r="G118" i="16" a="1"/>
  <c r="D117" i="13" a="1"/>
  <c r="G119" i="15" a="1"/>
  <c r="D121" i="3" a="1"/>
  <c r="H124" i="13" a="1"/>
  <c r="G121" i="1" a="1"/>
  <c r="J124" i="8" a="1"/>
  <c r="G118" i="1" a="1"/>
  <c r="D120" i="14" a="1"/>
  <c r="G121" i="14" a="1"/>
  <c r="C117" i="14" a="1"/>
  <c r="G119" i="6" a="1"/>
  <c r="J124" i="1" a="1"/>
  <c r="D119" i="3" a="1"/>
  <c r="G120" i="16" a="1"/>
  <c r="C98" i="17" a="1"/>
  <c r="G121" i="16" a="1"/>
  <c r="G121" i="13" a="1"/>
  <c r="H124" i="7" a="1"/>
  <c r="D117" i="17" a="1"/>
  <c r="D117" i="14" a="1"/>
  <c r="J124" i="6" a="1"/>
  <c r="J124" i="17" a="1"/>
  <c r="K124" i="8" a="1"/>
  <c r="D117" i="12" a="1"/>
  <c r="J124" i="4" a="1"/>
  <c r="D117" i="10" a="1"/>
  <c r="H124" i="16" a="1"/>
  <c r="G119" i="11" a="1"/>
  <c r="G119" i="13" a="1"/>
  <c r="D117" i="6" a="1"/>
  <c r="H124" i="14" a="1"/>
  <c r="K124" i="7" a="1"/>
  <c r="G120" i="9" a="1"/>
  <c r="D121" i="14" a="1"/>
  <c r="G120" i="4" a="1"/>
  <c r="G118" i="3" a="1"/>
  <c r="H124" i="3" a="1"/>
  <c r="C98" i="6" a="1"/>
  <c r="G119" i="4" a="1"/>
  <c r="J124" i="15" a="1"/>
  <c r="K124" i="6" a="1"/>
  <c r="C117" i="15" a="1"/>
  <c r="G120" i="2" a="1"/>
  <c r="D117" i="7" a="1"/>
  <c r="K124" i="17" a="1"/>
  <c r="C117" i="7" a="1"/>
  <c r="G120" i="10" a="1"/>
  <c r="G119" i="10" a="1"/>
  <c r="K124" i="9" a="1"/>
  <c r="J124" i="2" a="1"/>
  <c r="G119" i="14" a="1"/>
  <c r="H124" i="10" a="1"/>
  <c r="G121" i="6" a="1"/>
  <c r="D117" i="1" a="1"/>
  <c r="C98" i="10" a="1"/>
  <c r="D117" i="5" a="1"/>
  <c r="K124" i="15" a="1"/>
  <c r="C117" i="8" a="1"/>
  <c r="G119" i="3" a="1"/>
  <c r="G120" i="12" a="1"/>
  <c r="D122" i="3" a="1"/>
  <c r="G118" i="12" a="1"/>
  <c r="G118" i="13" a="1"/>
  <c r="D118" i="3" a="1"/>
  <c r="G119" i="12" a="1"/>
  <c r="G118" i="10" a="1"/>
  <c r="D81" i="16" l="1"/>
  <c r="B133" i="16"/>
  <c r="B134" i="16"/>
  <c r="B134" i="15"/>
  <c r="B133" i="15"/>
  <c r="C82" i="15"/>
  <c r="D81" i="15"/>
  <c r="D81" i="14"/>
  <c r="B135" i="14"/>
  <c r="C82" i="12"/>
  <c r="B133" i="12"/>
  <c r="D81" i="10"/>
  <c r="B134" i="10"/>
  <c r="C82" i="9"/>
  <c r="B135" i="9"/>
  <c r="D81" i="9"/>
  <c r="D81" i="8"/>
  <c r="D81" i="7"/>
  <c r="D81" i="6"/>
  <c r="B134" i="6"/>
  <c r="C82" i="5"/>
  <c r="B134" i="5"/>
  <c r="C82" i="4"/>
  <c r="B134" i="4"/>
  <c r="D81" i="4"/>
  <c r="C82" i="3"/>
  <c r="B133" i="3"/>
  <c r="D81" i="2"/>
  <c r="B133" i="2"/>
  <c r="F87" i="1"/>
  <c r="D81" i="1"/>
  <c r="C82" i="1"/>
  <c r="C82" i="17"/>
  <c r="B134" i="17"/>
  <c r="B133" i="14"/>
  <c r="B134" i="13"/>
  <c r="B134" i="12"/>
  <c r="C82" i="11"/>
  <c r="B134" i="11"/>
  <c r="B135" i="10"/>
  <c r="B134" i="9"/>
  <c r="B134" i="8"/>
  <c r="B133" i="7"/>
  <c r="B135" i="2"/>
  <c r="C82" i="2"/>
  <c r="B134" i="1"/>
  <c r="L128" i="1"/>
  <c r="N127" i="1" s="1"/>
  <c r="L125" i="1"/>
  <c r="L128" i="3"/>
  <c r="N126" i="3" s="1"/>
  <c r="G121" i="1"/>
  <c r="H121" i="1" s="1"/>
  <c r="G119" i="1"/>
  <c r="H119" i="1" s="1"/>
  <c r="G118" i="1"/>
  <c r="D117" i="1"/>
  <c r="H124" i="1"/>
  <c r="G120" i="1"/>
  <c r="H120" i="1" s="1"/>
  <c r="J124" i="1"/>
  <c r="K124" i="1"/>
  <c r="C117" i="1"/>
  <c r="L125" i="2"/>
  <c r="L126" i="5"/>
  <c r="L128" i="4"/>
  <c r="L126" i="1"/>
  <c r="L127" i="1"/>
  <c r="D96" i="1"/>
  <c r="D95" i="1"/>
  <c r="D94" i="1"/>
  <c r="D93" i="1"/>
  <c r="D97" i="1"/>
  <c r="L126" i="2"/>
  <c r="L127" i="3"/>
  <c r="L127" i="2"/>
  <c r="L126" i="3"/>
  <c r="G119" i="2"/>
  <c r="H119" i="2" s="1"/>
  <c r="G121" i="2"/>
  <c r="H121" i="2" s="1"/>
  <c r="G118" i="2"/>
  <c r="H118" i="2" s="1"/>
  <c r="D117" i="2"/>
  <c r="H124" i="2"/>
  <c r="G120" i="2"/>
  <c r="H120" i="2" s="1"/>
  <c r="J124" i="2"/>
  <c r="K124" i="2"/>
  <c r="C117" i="2"/>
  <c r="L125" i="3"/>
  <c r="D96" i="2"/>
  <c r="D95" i="2"/>
  <c r="D94" i="2"/>
  <c r="D93" i="2"/>
  <c r="D97" i="2"/>
  <c r="L128" i="2"/>
  <c r="N126" i="2" s="1"/>
  <c r="L126" i="4"/>
  <c r="G120" i="3"/>
  <c r="H120" i="3" s="1"/>
  <c r="D119" i="3"/>
  <c r="C117" i="3"/>
  <c r="H124" i="3"/>
  <c r="D121" i="3"/>
  <c r="G121" i="3"/>
  <c r="H121" i="3" s="1"/>
  <c r="J124" i="3"/>
  <c r="G119" i="3"/>
  <c r="H119" i="3" s="1"/>
  <c r="D120" i="3"/>
  <c r="K124" i="3"/>
  <c r="D122" i="3"/>
  <c r="D118" i="3"/>
  <c r="G118" i="3"/>
  <c r="H118" i="3" s="1"/>
  <c r="D117" i="3"/>
  <c r="L127" i="4"/>
  <c r="D96" i="3"/>
  <c r="D95" i="3"/>
  <c r="D94" i="3"/>
  <c r="D93" i="3"/>
  <c r="D97" i="3"/>
  <c r="L125" i="4"/>
  <c r="L128" i="5"/>
  <c r="N126" i="5" s="1"/>
  <c r="G120" i="4"/>
  <c r="H120" i="4" s="1"/>
  <c r="C117" i="4"/>
  <c r="G121" i="4"/>
  <c r="H121" i="4" s="1"/>
  <c r="G119" i="4"/>
  <c r="H119" i="4" s="1"/>
  <c r="H124" i="4"/>
  <c r="G118" i="4"/>
  <c r="H118" i="4" s="1"/>
  <c r="J124" i="4"/>
  <c r="K124" i="4"/>
  <c r="D117" i="4"/>
  <c r="C98" i="4"/>
  <c r="L125" i="5"/>
  <c r="L125" i="6"/>
  <c r="L126" i="6"/>
  <c r="H124" i="5"/>
  <c r="C117" i="5"/>
  <c r="J124" i="5"/>
  <c r="K124" i="5"/>
  <c r="D117" i="5"/>
  <c r="C98" i="5"/>
  <c r="L128" i="6"/>
  <c r="N126" i="6" s="1"/>
  <c r="L127" i="5"/>
  <c r="L128" i="7"/>
  <c r="N126" i="7" s="1"/>
  <c r="L126" i="7"/>
  <c r="L127" i="6"/>
  <c r="G120" i="6"/>
  <c r="H120" i="6" s="1"/>
  <c r="C117" i="6"/>
  <c r="G121" i="6"/>
  <c r="H121" i="6" s="1"/>
  <c r="G119" i="6"/>
  <c r="H119" i="6" s="1"/>
  <c r="H124" i="6"/>
  <c r="G118" i="6"/>
  <c r="H118" i="6" s="1"/>
  <c r="J124" i="6"/>
  <c r="K124" i="6"/>
  <c r="D117" i="6"/>
  <c r="C98" i="6"/>
  <c r="L125" i="7"/>
  <c r="L126" i="9"/>
  <c r="G120" i="7"/>
  <c r="H120" i="7" s="1"/>
  <c r="C117" i="7"/>
  <c r="G121" i="7"/>
  <c r="H121" i="7" s="1"/>
  <c r="G119" i="7"/>
  <c r="H119" i="7" s="1"/>
  <c r="H124" i="7"/>
  <c r="G118" i="7"/>
  <c r="H118" i="7" s="1"/>
  <c r="J124" i="7"/>
  <c r="K124" i="7"/>
  <c r="D117" i="7"/>
  <c r="C98" i="7"/>
  <c r="L128" i="8"/>
  <c r="N126" i="8" s="1"/>
  <c r="L125" i="8"/>
  <c r="L127" i="7"/>
  <c r="L126" i="8"/>
  <c r="L127" i="8"/>
  <c r="G120" i="8"/>
  <c r="H120" i="8" s="1"/>
  <c r="C117" i="8"/>
  <c r="G121" i="8"/>
  <c r="H121" i="8" s="1"/>
  <c r="H124" i="8"/>
  <c r="G119" i="8"/>
  <c r="H119" i="8" s="1"/>
  <c r="J124" i="8"/>
  <c r="G118" i="8"/>
  <c r="H118" i="8" s="1"/>
  <c r="K124" i="8"/>
  <c r="D117" i="8"/>
  <c r="L128" i="9"/>
  <c r="N126" i="9" s="1"/>
  <c r="L127" i="9"/>
  <c r="L125" i="9"/>
  <c r="D96" i="8"/>
  <c r="D95" i="8"/>
  <c r="D94" i="8"/>
  <c r="D93" i="8"/>
  <c r="D97" i="8"/>
  <c r="L125" i="10"/>
  <c r="J124" i="9"/>
  <c r="G120" i="9"/>
  <c r="H120" i="9" s="1"/>
  <c r="H124" i="9"/>
  <c r="K124" i="9"/>
  <c r="C117" i="9"/>
  <c r="D117" i="9"/>
  <c r="G121" i="9"/>
  <c r="H121" i="9" s="1"/>
  <c r="G119" i="9"/>
  <c r="H119" i="9" s="1"/>
  <c r="G118" i="9"/>
  <c r="H118" i="9" s="1"/>
  <c r="D96" i="9"/>
  <c r="D95" i="9"/>
  <c r="D94" i="9"/>
  <c r="D93" i="9"/>
  <c r="D97" i="9"/>
  <c r="L125" i="11"/>
  <c r="L126" i="11"/>
  <c r="G119" i="10"/>
  <c r="H119" i="10" s="1"/>
  <c r="G121" i="10"/>
  <c r="H121" i="10" s="1"/>
  <c r="G118" i="10"/>
  <c r="H118" i="10" s="1"/>
  <c r="D117" i="10"/>
  <c r="C98" i="10"/>
  <c r="G120" i="10"/>
  <c r="H120" i="10" s="1"/>
  <c r="H124" i="10"/>
  <c r="J124" i="10"/>
  <c r="C117" i="10"/>
  <c r="K124" i="10"/>
  <c r="L128" i="10"/>
  <c r="N126" i="10" s="1"/>
  <c r="L126" i="12"/>
  <c r="L127" i="11"/>
  <c r="L126" i="10"/>
  <c r="L127" i="10"/>
  <c r="L127" i="12"/>
  <c r="G120" i="11"/>
  <c r="H120" i="11" s="1"/>
  <c r="C117" i="11"/>
  <c r="G121" i="11"/>
  <c r="H121" i="11" s="1"/>
  <c r="G119" i="11"/>
  <c r="H119" i="11" s="1"/>
  <c r="H124" i="11"/>
  <c r="G118" i="11"/>
  <c r="H118" i="11" s="1"/>
  <c r="J124" i="11"/>
  <c r="K124" i="11"/>
  <c r="D117" i="11"/>
  <c r="C98" i="11"/>
  <c r="L128" i="12"/>
  <c r="L128" i="11"/>
  <c r="N126" i="11" s="1"/>
  <c r="L125" i="12"/>
  <c r="L126" i="16"/>
  <c r="G120" i="12"/>
  <c r="H120" i="12" s="1"/>
  <c r="C117" i="12"/>
  <c r="G119" i="12"/>
  <c r="H119" i="12" s="1"/>
  <c r="G121" i="12"/>
  <c r="H121" i="12" s="1"/>
  <c r="H124" i="12"/>
  <c r="G118" i="12"/>
  <c r="H118" i="12" s="1"/>
  <c r="J124" i="12"/>
  <c r="D117" i="12"/>
  <c r="K124" i="12"/>
  <c r="C98" i="12"/>
  <c r="L127" i="13"/>
  <c r="L128" i="13"/>
  <c r="N127" i="13" s="1"/>
  <c r="L125" i="13"/>
  <c r="L126" i="13"/>
  <c r="L126" i="15"/>
  <c r="L128" i="15"/>
  <c r="G120" i="13"/>
  <c r="H120" i="13" s="1"/>
  <c r="H124" i="13"/>
  <c r="C117" i="13"/>
  <c r="J124" i="13"/>
  <c r="K124" i="13"/>
  <c r="G119" i="13"/>
  <c r="H119" i="13" s="1"/>
  <c r="G121" i="13"/>
  <c r="H121" i="13" s="1"/>
  <c r="G118" i="13"/>
  <c r="H118" i="13" s="1"/>
  <c r="D117" i="13"/>
  <c r="C98" i="13"/>
  <c r="L128" i="14"/>
  <c r="N128" i="14" s="1"/>
  <c r="L125" i="14"/>
  <c r="L125" i="15"/>
  <c r="L127" i="14"/>
  <c r="D121" i="14"/>
  <c r="F121" i="14" s="1"/>
  <c r="G119" i="14"/>
  <c r="H119" i="14" s="1"/>
  <c r="G121" i="14"/>
  <c r="H121" i="14" s="1"/>
  <c r="G118" i="14"/>
  <c r="H118" i="14" s="1"/>
  <c r="D117" i="14"/>
  <c r="C98" i="14"/>
  <c r="D122" i="14"/>
  <c r="F122" i="14" s="1"/>
  <c r="G120" i="14"/>
  <c r="H120" i="14" s="1"/>
  <c r="D118" i="14"/>
  <c r="F118" i="14" s="1"/>
  <c r="D119" i="14"/>
  <c r="F119" i="14" s="1"/>
  <c r="H124" i="14"/>
  <c r="J124" i="14"/>
  <c r="C117" i="14"/>
  <c r="K124" i="14"/>
  <c r="D120" i="14"/>
  <c r="F120" i="14" s="1"/>
  <c r="L126" i="14"/>
  <c r="L127" i="15"/>
  <c r="L125" i="16"/>
  <c r="D117" i="15"/>
  <c r="J124" i="15"/>
  <c r="H124" i="15"/>
  <c r="G120" i="15"/>
  <c r="H120" i="15" s="1"/>
  <c r="K124" i="15"/>
  <c r="C117" i="15"/>
  <c r="G119" i="15"/>
  <c r="H119" i="15" s="1"/>
  <c r="D96" i="15"/>
  <c r="D95" i="15"/>
  <c r="D94" i="15"/>
  <c r="D93" i="15"/>
  <c r="D97" i="15"/>
  <c r="L128" i="16"/>
  <c r="N127" i="16" s="1"/>
  <c r="L126" i="17"/>
  <c r="L127" i="16"/>
  <c r="L127" i="17"/>
  <c r="G120" i="16"/>
  <c r="H120" i="16" s="1"/>
  <c r="C117" i="16"/>
  <c r="G121" i="16"/>
  <c r="H121" i="16" s="1"/>
  <c r="H124" i="16"/>
  <c r="G119" i="16"/>
  <c r="H119" i="16" s="1"/>
  <c r="J124" i="16"/>
  <c r="G118" i="16"/>
  <c r="H118" i="16" s="1"/>
  <c r="K124" i="16"/>
  <c r="D117" i="16"/>
  <c r="L128" i="17"/>
  <c r="N126" i="17" s="1"/>
  <c r="L125" i="17"/>
  <c r="D96" i="16"/>
  <c r="D95" i="16"/>
  <c r="D94" i="16"/>
  <c r="D93" i="16"/>
  <c r="D97" i="16"/>
  <c r="G120" i="17"/>
  <c r="H120" i="17" s="1"/>
  <c r="C117" i="17"/>
  <c r="G119" i="17"/>
  <c r="H119" i="17" s="1"/>
  <c r="G121" i="17"/>
  <c r="H121" i="17" s="1"/>
  <c r="H124" i="17"/>
  <c r="G118" i="17"/>
  <c r="H118" i="17" s="1"/>
  <c r="J124" i="17"/>
  <c r="D117" i="17"/>
  <c r="K124" i="17"/>
  <c r="C98" i="17"/>
  <c r="N126" i="15" l="1"/>
  <c r="N127" i="12"/>
  <c r="N126" i="4"/>
  <c r="H118" i="1"/>
  <c r="N126" i="1"/>
  <c r="N128" i="3"/>
  <c r="N127" i="3"/>
  <c r="N128" i="1"/>
  <c r="L124" i="2"/>
  <c r="C125" i="2" s="1"/>
  <c r="N128" i="4"/>
  <c r="N127" i="4"/>
  <c r="L124" i="1"/>
  <c r="C129" i="1" s="1"/>
  <c r="N128" i="5"/>
  <c r="N127" i="5"/>
  <c r="L124" i="5"/>
  <c r="C126" i="5" s="1"/>
  <c r="C121" i="1"/>
  <c r="C118" i="1"/>
  <c r="C122" i="1"/>
  <c r="C119" i="1"/>
  <c r="C120" i="1"/>
  <c r="N128" i="2"/>
  <c r="N127" i="2"/>
  <c r="C121" i="2"/>
  <c r="C118" i="2"/>
  <c r="C122" i="2"/>
  <c r="C119" i="2"/>
  <c r="C120" i="2"/>
  <c r="L124" i="3"/>
  <c r="M124" i="3" s="1"/>
  <c r="E119" i="6"/>
  <c r="F120" i="3"/>
  <c r="E120" i="3"/>
  <c r="F118" i="3"/>
  <c r="E118" i="3"/>
  <c r="F121" i="3"/>
  <c r="E121" i="3"/>
  <c r="C121" i="3"/>
  <c r="C118" i="3"/>
  <c r="C122" i="3"/>
  <c r="C119" i="3"/>
  <c r="C120" i="3"/>
  <c r="F119" i="3"/>
  <c r="E119" i="3"/>
  <c r="F122" i="3"/>
  <c r="E122" i="3"/>
  <c r="L124" i="4"/>
  <c r="C125" i="4" s="1"/>
  <c r="C121" i="4"/>
  <c r="C118" i="4"/>
  <c r="C122" i="4"/>
  <c r="C119" i="4"/>
  <c r="C120" i="4"/>
  <c r="D96" i="4"/>
  <c r="D95" i="4"/>
  <c r="D94" i="4"/>
  <c r="D93" i="4"/>
  <c r="D97" i="4"/>
  <c r="N127" i="6"/>
  <c r="N128" i="6"/>
  <c r="C121" i="5"/>
  <c r="C118" i="5"/>
  <c r="C122" i="5"/>
  <c r="C119" i="5"/>
  <c r="C120" i="5"/>
  <c r="N128" i="7"/>
  <c r="D96" i="5"/>
  <c r="D95" i="5"/>
  <c r="D94" i="5"/>
  <c r="D93" i="5"/>
  <c r="D97" i="5"/>
  <c r="N127" i="7"/>
  <c r="L124" i="6"/>
  <c r="C127" i="6" s="1"/>
  <c r="E118" i="6"/>
  <c r="E120" i="6"/>
  <c r="E121" i="6"/>
  <c r="C121" i="6"/>
  <c r="C118" i="6"/>
  <c r="C122" i="6"/>
  <c r="C119" i="6"/>
  <c r="C120" i="6"/>
  <c r="D96" i="6"/>
  <c r="D95" i="6"/>
  <c r="D94" i="6"/>
  <c r="D93" i="6"/>
  <c r="D97" i="6"/>
  <c r="E122" i="6"/>
  <c r="L124" i="8"/>
  <c r="C130" i="8" s="1"/>
  <c r="N128" i="9"/>
  <c r="N127" i="8"/>
  <c r="L124" i="7"/>
  <c r="C130" i="7" s="1"/>
  <c r="N127" i="9"/>
  <c r="N128" i="8"/>
  <c r="D96" i="7"/>
  <c r="D95" i="7"/>
  <c r="D94" i="7"/>
  <c r="D93" i="7"/>
  <c r="D97" i="7"/>
  <c r="C121" i="7"/>
  <c r="C118" i="7"/>
  <c r="C122" i="7"/>
  <c r="C119" i="7"/>
  <c r="C120" i="7"/>
  <c r="C121" i="8"/>
  <c r="C118" i="8"/>
  <c r="C122" i="8"/>
  <c r="C119" i="8"/>
  <c r="C120" i="8"/>
  <c r="N128" i="15"/>
  <c r="N127" i="14"/>
  <c r="E121" i="9"/>
  <c r="E120" i="9"/>
  <c r="C121" i="9"/>
  <c r="C118" i="9"/>
  <c r="C120" i="9"/>
  <c r="C122" i="9"/>
  <c r="C119" i="9"/>
  <c r="N128" i="10"/>
  <c r="N127" i="10"/>
  <c r="E119" i="9"/>
  <c r="L124" i="9"/>
  <c r="M124" i="9" s="1"/>
  <c r="E118" i="9"/>
  <c r="E122" i="9"/>
  <c r="E122" i="14"/>
  <c r="D96" i="10"/>
  <c r="D95" i="10"/>
  <c r="D94" i="10"/>
  <c r="D93" i="10"/>
  <c r="D97" i="10"/>
  <c r="C121" i="10"/>
  <c r="C118" i="10"/>
  <c r="C122" i="10"/>
  <c r="C119" i="10"/>
  <c r="C120" i="10"/>
  <c r="L124" i="10"/>
  <c r="M124" i="10" s="1"/>
  <c r="N126" i="12"/>
  <c r="L124" i="11"/>
  <c r="C128" i="11" s="1"/>
  <c r="E118" i="14"/>
  <c r="N127" i="15"/>
  <c r="E121" i="14"/>
  <c r="N128" i="13"/>
  <c r="N128" i="12"/>
  <c r="N128" i="11"/>
  <c r="N126" i="13"/>
  <c r="N127" i="11"/>
  <c r="C121" i="11"/>
  <c r="C118" i="11"/>
  <c r="C122" i="11"/>
  <c r="C119" i="11"/>
  <c r="C120" i="11"/>
  <c r="N126" i="14"/>
  <c r="D96" i="11"/>
  <c r="D95" i="11"/>
  <c r="D94" i="11"/>
  <c r="D93" i="11"/>
  <c r="D97" i="11"/>
  <c r="L124" i="12"/>
  <c r="C130" i="12" s="1"/>
  <c r="N126" i="16"/>
  <c r="D96" i="12"/>
  <c r="D95" i="12"/>
  <c r="D94" i="12"/>
  <c r="D93" i="12"/>
  <c r="D97" i="12"/>
  <c r="C121" i="12"/>
  <c r="C118" i="12"/>
  <c r="C122" i="12"/>
  <c r="C119" i="12"/>
  <c r="C120" i="12"/>
  <c r="L124" i="13"/>
  <c r="M124" i="13" s="1"/>
  <c r="C121" i="13"/>
  <c r="C118" i="13"/>
  <c r="C122" i="13"/>
  <c r="C119" i="13"/>
  <c r="C120" i="13"/>
  <c r="D96" i="13"/>
  <c r="D95" i="13"/>
  <c r="D94" i="13"/>
  <c r="D93" i="13"/>
  <c r="D97" i="13"/>
  <c r="E120" i="14"/>
  <c r="L124" i="15"/>
  <c r="M124" i="15" s="1"/>
  <c r="L124" i="14"/>
  <c r="C129" i="14" s="1"/>
  <c r="E119" i="14"/>
  <c r="D96" i="14"/>
  <c r="D95" i="14"/>
  <c r="D94" i="14"/>
  <c r="D93" i="14"/>
  <c r="D97" i="14"/>
  <c r="C121" i="14"/>
  <c r="C118" i="14"/>
  <c r="C122" i="14"/>
  <c r="C119" i="14"/>
  <c r="C120" i="14"/>
  <c r="N128" i="16"/>
  <c r="C121" i="15"/>
  <c r="C118" i="15"/>
  <c r="C120" i="15"/>
  <c r="C122" i="15"/>
  <c r="C119" i="15"/>
  <c r="N128" i="17"/>
  <c r="L124" i="16"/>
  <c r="C130" i="16" s="1"/>
  <c r="L124" i="17"/>
  <c r="C127" i="17" s="1"/>
  <c r="N127" i="17"/>
  <c r="C121" i="16"/>
  <c r="C118" i="16"/>
  <c r="C122" i="16"/>
  <c r="C119" i="16"/>
  <c r="C120" i="16"/>
  <c r="C121" i="17"/>
  <c r="C118" i="17"/>
  <c r="C122" i="17"/>
  <c r="C119" i="17"/>
  <c r="C120" i="17"/>
  <c r="D96" i="17"/>
  <c r="D95" i="17"/>
  <c r="D94" i="17"/>
  <c r="D93" i="17"/>
  <c r="D97" i="17"/>
  <c r="D121" i="16" a="1"/>
  <c r="D118" i="15" a="1"/>
  <c r="D119" i="10" a="1"/>
  <c r="D122" i="5" a="1"/>
  <c r="D120" i="9" a="1"/>
  <c r="G120" i="5" a="1"/>
  <c r="D120" i="16" a="1"/>
  <c r="D118" i="1" a="1"/>
  <c r="D120" i="12" a="1"/>
  <c r="D118" i="12" a="1"/>
  <c r="D118" i="17" a="1"/>
  <c r="D121" i="8" a="1"/>
  <c r="D119" i="4" a="1"/>
  <c r="D119" i="7" a="1"/>
  <c r="D120" i="17" a="1"/>
  <c r="D120" i="15" a="1"/>
  <c r="D122" i="4" a="1"/>
  <c r="D120" i="6" a="1"/>
  <c r="D119" i="13" a="1"/>
  <c r="D122" i="13" a="1"/>
  <c r="D119" i="12" a="1"/>
  <c r="D121" i="15" a="1"/>
  <c r="D118" i="2" a="1"/>
  <c r="D121" i="12" a="1"/>
  <c r="D119" i="2" a="1"/>
  <c r="D120" i="4" a="1"/>
  <c r="D122" i="9" a="1"/>
  <c r="D119" i="8" a="1"/>
  <c r="D120" i="2" a="1"/>
  <c r="D119" i="5" a="1"/>
  <c r="D121" i="1" a="1"/>
  <c r="G121" i="5" a="1"/>
  <c r="D120" i="10" a="1"/>
  <c r="D118" i="4" a="1"/>
  <c r="D120" i="8" a="1"/>
  <c r="D121" i="2" a="1"/>
  <c r="G122" i="5" a="1"/>
  <c r="D118" i="9" a="1"/>
  <c r="D122" i="16" a="1"/>
  <c r="D120" i="13" a="1"/>
  <c r="D122" i="10" a="1"/>
  <c r="D118" i="11" a="1"/>
  <c r="D122" i="17" a="1"/>
  <c r="D119" i="15" a="1"/>
  <c r="D122" i="12" a="1"/>
  <c r="G118" i="5" a="1"/>
  <c r="D118" i="13" a="1"/>
  <c r="D121" i="10" a="1"/>
  <c r="D119" i="6" a="1"/>
  <c r="D122" i="8" a="1"/>
  <c r="D122" i="1" a="1"/>
  <c r="D121" i="4" a="1"/>
  <c r="D119" i="17" a="1"/>
  <c r="D121" i="6" a="1"/>
  <c r="D121" i="5" a="1"/>
  <c r="D120" i="7" a="1"/>
  <c r="D122" i="7" a="1"/>
  <c r="D118" i="8" a="1"/>
  <c r="D122" i="11" a="1"/>
  <c r="D119" i="16" a="1"/>
  <c r="D119" i="9" a="1"/>
  <c r="D122" i="6" a="1"/>
  <c r="D121" i="17" a="1"/>
  <c r="D120" i="11" a="1"/>
  <c r="D119" i="1" a="1"/>
  <c r="D120" i="1" a="1"/>
  <c r="D120" i="5" a="1"/>
  <c r="D118" i="10" a="1"/>
  <c r="D118" i="6" a="1"/>
  <c r="D118" i="16" a="1"/>
  <c r="D121" i="13" a="1"/>
  <c r="D122" i="2" a="1"/>
  <c r="D121" i="7" a="1"/>
  <c r="D121" i="9" a="1"/>
  <c r="D118" i="5" a="1"/>
  <c r="D119" i="11" a="1"/>
  <c r="D118" i="7" a="1"/>
  <c r="D122" i="15" a="1"/>
  <c r="D121" i="11" a="1"/>
  <c r="G119" i="5" a="1"/>
  <c r="D120" i="6" l="1"/>
  <c r="F120" i="6" s="1"/>
  <c r="D119" i="6"/>
  <c r="F119" i="6" s="1"/>
  <c r="D122" i="6"/>
  <c r="F122" i="6" s="1"/>
  <c r="D118" i="6"/>
  <c r="F118" i="6" s="1"/>
  <c r="D121" i="6"/>
  <c r="F121" i="6" s="1"/>
  <c r="G121" i="5"/>
  <c r="H121" i="5" s="1"/>
  <c r="G120" i="5"/>
  <c r="H120" i="5" s="1"/>
  <c r="G122" i="5"/>
  <c r="H122" i="5" s="1"/>
  <c r="G118" i="5"/>
  <c r="H118" i="5" s="1"/>
  <c r="G119" i="5"/>
  <c r="H119" i="5" s="1"/>
  <c r="D118" i="16"/>
  <c r="D121" i="16"/>
  <c r="D122" i="16"/>
  <c r="D120" i="16"/>
  <c r="D119" i="16"/>
  <c r="D118" i="11"/>
  <c r="D121" i="11"/>
  <c r="D120" i="11"/>
  <c r="D119" i="11"/>
  <c r="D122" i="11"/>
  <c r="C130" i="2"/>
  <c r="D119" i="17"/>
  <c r="D122" i="17"/>
  <c r="D118" i="17"/>
  <c r="D121" i="17"/>
  <c r="D120" i="17"/>
  <c r="D120" i="15"/>
  <c r="D122" i="15"/>
  <c r="D118" i="15"/>
  <c r="D121" i="15"/>
  <c r="D119" i="15"/>
  <c r="D122" i="13"/>
  <c r="D121" i="13"/>
  <c r="D119" i="13"/>
  <c r="D120" i="13"/>
  <c r="D118" i="13"/>
  <c r="D118" i="12"/>
  <c r="D122" i="12"/>
  <c r="D121" i="12"/>
  <c r="D119" i="12"/>
  <c r="D120" i="12"/>
  <c r="D120" i="10"/>
  <c r="D119" i="10"/>
  <c r="D122" i="10"/>
  <c r="D118" i="10"/>
  <c r="D121" i="10"/>
  <c r="D120" i="9"/>
  <c r="F120" i="9" s="1"/>
  <c r="D118" i="9"/>
  <c r="F118" i="9" s="1"/>
  <c r="D121" i="9"/>
  <c r="F121" i="9" s="1"/>
  <c r="D122" i="9"/>
  <c r="F122" i="9" s="1"/>
  <c r="D119" i="9"/>
  <c r="F119" i="9" s="1"/>
  <c r="D120" i="8"/>
  <c r="D119" i="8"/>
  <c r="D122" i="8"/>
  <c r="D118" i="8"/>
  <c r="D121" i="8"/>
  <c r="D120" i="7"/>
  <c r="D119" i="7"/>
  <c r="D122" i="7"/>
  <c r="D118" i="7"/>
  <c r="D121" i="7"/>
  <c r="C128" i="2"/>
  <c r="C127" i="2"/>
  <c r="D120" i="5"/>
  <c r="D119" i="5"/>
  <c r="D122" i="5"/>
  <c r="D118" i="5"/>
  <c r="D121" i="5"/>
  <c r="D120" i="4"/>
  <c r="D119" i="4"/>
  <c r="D122" i="4"/>
  <c r="D118" i="4"/>
  <c r="D121" i="4"/>
  <c r="M124" i="2"/>
  <c r="D127" i="2" s="1"/>
  <c r="E127" i="2" s="1"/>
  <c r="C126" i="2"/>
  <c r="D120" i="2"/>
  <c r="D119" i="2"/>
  <c r="D122" i="2"/>
  <c r="D118" i="2"/>
  <c r="D121" i="2"/>
  <c r="D120" i="1"/>
  <c r="D119" i="1"/>
  <c r="D122" i="1"/>
  <c r="D118" i="1"/>
  <c r="D121" i="1"/>
  <c r="M124" i="1"/>
  <c r="D127" i="1" s="1"/>
  <c r="C129" i="2"/>
  <c r="C130" i="5"/>
  <c r="C130" i="1"/>
  <c r="C126" i="1"/>
  <c r="C127" i="1"/>
  <c r="C128" i="1"/>
  <c r="C125" i="1"/>
  <c r="M124" i="4"/>
  <c r="D128" i="4" s="1"/>
  <c r="E128" i="4" s="1"/>
  <c r="C130" i="3"/>
  <c r="C125" i="5"/>
  <c r="C129" i="5"/>
  <c r="M124" i="5"/>
  <c r="D127" i="5" s="1"/>
  <c r="E127" i="5" s="1"/>
  <c r="C128" i="5"/>
  <c r="C127" i="5"/>
  <c r="C125" i="3"/>
  <c r="C127" i="3"/>
  <c r="M124" i="6"/>
  <c r="D128" i="6" s="1"/>
  <c r="E128" i="6" s="1"/>
  <c r="C126" i="3"/>
  <c r="C129" i="3"/>
  <c r="C128" i="3"/>
  <c r="D130" i="3"/>
  <c r="E130" i="3" s="1"/>
  <c r="D126" i="3"/>
  <c r="E126" i="3" s="1"/>
  <c r="D127" i="3"/>
  <c r="E127" i="3" s="1"/>
  <c r="D125" i="3"/>
  <c r="E125" i="3" s="1"/>
  <c r="D128" i="3"/>
  <c r="E128" i="3" s="1"/>
  <c r="D129" i="3"/>
  <c r="E129" i="3" s="1"/>
  <c r="C130" i="6"/>
  <c r="C128" i="4"/>
  <c r="C127" i="4"/>
  <c r="C126" i="4"/>
  <c r="C130" i="4"/>
  <c r="C129" i="4"/>
  <c r="C126" i="6"/>
  <c r="M124" i="8"/>
  <c r="D128" i="8" s="1"/>
  <c r="E128" i="8" s="1"/>
  <c r="C125" i="8"/>
  <c r="C129" i="8"/>
  <c r="C128" i="8"/>
  <c r="C127" i="8"/>
  <c r="C126" i="8"/>
  <c r="C125" i="6"/>
  <c r="C129" i="6"/>
  <c r="C128" i="6"/>
  <c r="C125" i="7"/>
  <c r="C128" i="7"/>
  <c r="M124" i="7"/>
  <c r="D127" i="7" s="1"/>
  <c r="E127" i="7" s="1"/>
  <c r="C129" i="7"/>
  <c r="C126" i="7"/>
  <c r="C127" i="7"/>
  <c r="M124" i="11"/>
  <c r="D130" i="11" s="1"/>
  <c r="E130" i="11" s="1"/>
  <c r="C130" i="9"/>
  <c r="C126" i="9"/>
  <c r="C127" i="9"/>
  <c r="C128" i="9"/>
  <c r="C129" i="9"/>
  <c r="C125" i="9"/>
  <c r="D130" i="9"/>
  <c r="E130" i="9" s="1"/>
  <c r="D126" i="9"/>
  <c r="E126" i="9" s="1"/>
  <c r="D127" i="9"/>
  <c r="E127" i="9" s="1"/>
  <c r="D128" i="9"/>
  <c r="E128" i="9" s="1"/>
  <c r="D129" i="9"/>
  <c r="E129" i="9" s="1"/>
  <c r="D125" i="9"/>
  <c r="E125" i="9" s="1"/>
  <c r="C128" i="13"/>
  <c r="C125" i="13"/>
  <c r="C125" i="11"/>
  <c r="C129" i="11"/>
  <c r="D130" i="10"/>
  <c r="E130" i="10" s="1"/>
  <c r="D126" i="10"/>
  <c r="E126" i="10" s="1"/>
  <c r="D127" i="10"/>
  <c r="E127" i="10" s="1"/>
  <c r="D128" i="10"/>
  <c r="E128" i="10" s="1"/>
  <c r="D129" i="10"/>
  <c r="E129" i="10" s="1"/>
  <c r="D125" i="10"/>
  <c r="E125" i="10" s="1"/>
  <c r="C127" i="11"/>
  <c r="C130" i="10"/>
  <c r="C126" i="10"/>
  <c r="C127" i="10"/>
  <c r="C128" i="10"/>
  <c r="C125" i="10"/>
  <c r="C129" i="10"/>
  <c r="C126" i="11"/>
  <c r="C130" i="11"/>
  <c r="C128" i="15"/>
  <c r="C127" i="15"/>
  <c r="C130" i="15"/>
  <c r="C127" i="13"/>
  <c r="C125" i="12"/>
  <c r="C129" i="12"/>
  <c r="C128" i="12"/>
  <c r="C127" i="12"/>
  <c r="M124" i="12"/>
  <c r="D126" i="12" s="1"/>
  <c r="E126" i="12" s="1"/>
  <c r="C126" i="12"/>
  <c r="C125" i="15"/>
  <c r="C129" i="15"/>
  <c r="C126" i="13"/>
  <c r="C126" i="15"/>
  <c r="C130" i="13"/>
  <c r="C127" i="14"/>
  <c r="C129" i="13"/>
  <c r="C125" i="14"/>
  <c r="C130" i="14"/>
  <c r="M124" i="14"/>
  <c r="D130" i="14" s="1"/>
  <c r="E130" i="14" s="1"/>
  <c r="D130" i="13"/>
  <c r="E130" i="13" s="1"/>
  <c r="D126" i="13"/>
  <c r="E126" i="13" s="1"/>
  <c r="D127" i="13"/>
  <c r="E127" i="13" s="1"/>
  <c r="D128" i="13"/>
  <c r="E128" i="13" s="1"/>
  <c r="D129" i="13"/>
  <c r="E129" i="13" s="1"/>
  <c r="D125" i="13"/>
  <c r="E125" i="13" s="1"/>
  <c r="C126" i="14"/>
  <c r="C128" i="14"/>
  <c r="D125" i="15"/>
  <c r="E125" i="15" s="1"/>
  <c r="D130" i="15"/>
  <c r="E130" i="15" s="1"/>
  <c r="D126" i="15"/>
  <c r="E126" i="15" s="1"/>
  <c r="D127" i="15"/>
  <c r="E127" i="15" s="1"/>
  <c r="D128" i="15"/>
  <c r="E128" i="15" s="1"/>
  <c r="D129" i="15"/>
  <c r="E129" i="15" s="1"/>
  <c r="C129" i="17"/>
  <c r="M124" i="17"/>
  <c r="D130" i="17" s="1"/>
  <c r="E130" i="17" s="1"/>
  <c r="C126" i="17"/>
  <c r="C130" i="17"/>
  <c r="M124" i="16"/>
  <c r="D130" i="16" s="1"/>
  <c r="E130" i="16" s="1"/>
  <c r="C129" i="16"/>
  <c r="C127" i="16"/>
  <c r="C125" i="16"/>
  <c r="C125" i="17"/>
  <c r="C128" i="16"/>
  <c r="C128" i="17"/>
  <c r="C126" i="16"/>
  <c r="F119" i="16" l="1"/>
  <c r="E119" i="16"/>
  <c r="F120" i="16"/>
  <c r="E120" i="16"/>
  <c r="F122" i="16"/>
  <c r="E122" i="16"/>
  <c r="F121" i="16"/>
  <c r="E121" i="16"/>
  <c r="F118" i="16"/>
  <c r="E118" i="16"/>
  <c r="F122" i="11"/>
  <c r="E122" i="11"/>
  <c r="F119" i="11"/>
  <c r="E119" i="11"/>
  <c r="F120" i="11"/>
  <c r="E120" i="11"/>
  <c r="F121" i="11"/>
  <c r="E121" i="11"/>
  <c r="F118" i="11"/>
  <c r="E118" i="11"/>
  <c r="F119" i="10"/>
  <c r="E119" i="10"/>
  <c r="F122" i="10"/>
  <c r="E122" i="10"/>
  <c r="F120" i="10"/>
  <c r="E120" i="10"/>
  <c r="F121" i="10"/>
  <c r="E121" i="10"/>
  <c r="F118" i="10"/>
  <c r="E118" i="10"/>
  <c r="E127" i="1"/>
  <c r="F120" i="17"/>
  <c r="E120" i="17"/>
  <c r="F121" i="17"/>
  <c r="E121" i="17"/>
  <c r="F118" i="17"/>
  <c r="E118" i="17"/>
  <c r="F122" i="17"/>
  <c r="E122" i="17"/>
  <c r="F119" i="17"/>
  <c r="E119" i="17"/>
  <c r="F119" i="15"/>
  <c r="E119" i="15"/>
  <c r="F121" i="15"/>
  <c r="E121" i="15"/>
  <c r="F118" i="15"/>
  <c r="E118" i="15"/>
  <c r="F122" i="15"/>
  <c r="E122" i="15"/>
  <c r="F120" i="15"/>
  <c r="E120" i="15"/>
  <c r="F118" i="13"/>
  <c r="E118" i="13"/>
  <c r="F120" i="13"/>
  <c r="E120" i="13"/>
  <c r="F119" i="13"/>
  <c r="E119" i="13"/>
  <c r="F121" i="13"/>
  <c r="E121" i="13"/>
  <c r="F122" i="13"/>
  <c r="E122" i="13"/>
  <c r="F120" i="12"/>
  <c r="E120" i="12"/>
  <c r="F119" i="12"/>
  <c r="E119" i="12"/>
  <c r="E121" i="12"/>
  <c r="F121" i="12"/>
  <c r="F122" i="12"/>
  <c r="E122" i="12"/>
  <c r="F118" i="12"/>
  <c r="E118" i="12"/>
  <c r="F121" i="8"/>
  <c r="E121" i="8"/>
  <c r="F118" i="8"/>
  <c r="E118" i="8"/>
  <c r="F122" i="8"/>
  <c r="E122" i="8"/>
  <c r="F119" i="8"/>
  <c r="E119" i="8"/>
  <c r="F120" i="8"/>
  <c r="E120" i="8"/>
  <c r="F121" i="7"/>
  <c r="E121" i="7"/>
  <c r="F118" i="7"/>
  <c r="E118" i="7"/>
  <c r="F122" i="7"/>
  <c r="E122" i="7"/>
  <c r="E119" i="7"/>
  <c r="F119" i="7"/>
  <c r="F120" i="7"/>
  <c r="E120" i="7"/>
  <c r="D125" i="2"/>
  <c r="E125" i="2" s="1"/>
  <c r="D128" i="2"/>
  <c r="E128" i="2" s="1"/>
  <c r="D126" i="2"/>
  <c r="E126" i="2" s="1"/>
  <c r="D130" i="2"/>
  <c r="E130" i="2" s="1"/>
  <c r="E121" i="5"/>
  <c r="F121" i="5"/>
  <c r="F118" i="5"/>
  <c r="E118" i="5"/>
  <c r="D129" i="2"/>
  <c r="E129" i="2" s="1"/>
  <c r="F122" i="5"/>
  <c r="E122" i="5"/>
  <c r="E119" i="5"/>
  <c r="F119" i="5"/>
  <c r="F120" i="5"/>
  <c r="E120" i="5"/>
  <c r="E121" i="4"/>
  <c r="F121" i="4"/>
  <c r="F118" i="4"/>
  <c r="E118" i="4"/>
  <c r="E122" i="4"/>
  <c r="F122" i="4"/>
  <c r="F119" i="4"/>
  <c r="E119" i="4"/>
  <c r="F120" i="4"/>
  <c r="E120" i="4"/>
  <c r="F121" i="2"/>
  <c r="E121" i="2"/>
  <c r="F118" i="2"/>
  <c r="E118" i="2"/>
  <c r="F122" i="2"/>
  <c r="E122" i="2"/>
  <c r="F119" i="2"/>
  <c r="E119" i="2"/>
  <c r="F120" i="2"/>
  <c r="E120" i="2"/>
  <c r="D126" i="1"/>
  <c r="D130" i="1"/>
  <c r="D125" i="1"/>
  <c r="D129" i="1"/>
  <c r="D128" i="1"/>
  <c r="F121" i="1"/>
  <c r="E121" i="1"/>
  <c r="F118" i="1"/>
  <c r="E118" i="1"/>
  <c r="F122" i="1"/>
  <c r="E122" i="1"/>
  <c r="F119" i="1"/>
  <c r="E119" i="1"/>
  <c r="F120" i="1"/>
  <c r="E120" i="1"/>
  <c r="D126" i="4"/>
  <c r="E126" i="4" s="1"/>
  <c r="D127" i="4"/>
  <c r="E127" i="4" s="1"/>
  <c r="D130" i="4"/>
  <c r="E130" i="4" s="1"/>
  <c r="D125" i="4"/>
  <c r="E125" i="4" s="1"/>
  <c r="D129" i="4"/>
  <c r="E129" i="4" s="1"/>
  <c r="D125" i="6"/>
  <c r="E125" i="6" s="1"/>
  <c r="D129" i="6"/>
  <c r="E129" i="6" s="1"/>
  <c r="D130" i="5"/>
  <c r="E130" i="5" s="1"/>
  <c r="D127" i="6"/>
  <c r="E127" i="6" s="1"/>
  <c r="D129" i="5"/>
  <c r="E129" i="5" s="1"/>
  <c r="D126" i="6"/>
  <c r="E126" i="6" s="1"/>
  <c r="D130" i="6"/>
  <c r="E130" i="6" s="1"/>
  <c r="D128" i="5"/>
  <c r="E128" i="5" s="1"/>
  <c r="D126" i="5"/>
  <c r="E126" i="5" s="1"/>
  <c r="D125" i="5"/>
  <c r="E125" i="5" s="1"/>
  <c r="D127" i="8"/>
  <c r="E127" i="8" s="1"/>
  <c r="D126" i="8"/>
  <c r="E126" i="8" s="1"/>
  <c r="D130" i="8"/>
  <c r="E130" i="8" s="1"/>
  <c r="D125" i="8"/>
  <c r="E125" i="8" s="1"/>
  <c r="D129" i="8"/>
  <c r="E129" i="8" s="1"/>
  <c r="D125" i="11"/>
  <c r="E125" i="11" s="1"/>
  <c r="D129" i="11"/>
  <c r="E129" i="11" s="1"/>
  <c r="D128" i="11"/>
  <c r="E128" i="11" s="1"/>
  <c r="D127" i="11"/>
  <c r="E127" i="11" s="1"/>
  <c r="D126" i="11"/>
  <c r="E126" i="11" s="1"/>
  <c r="D130" i="7"/>
  <c r="E130" i="7" s="1"/>
  <c r="D125" i="7"/>
  <c r="E125" i="7" s="1"/>
  <c r="D129" i="7"/>
  <c r="E129" i="7" s="1"/>
  <c r="D128" i="7"/>
  <c r="E128" i="7" s="1"/>
  <c r="D126" i="7"/>
  <c r="E126" i="7" s="1"/>
  <c r="D130" i="12"/>
  <c r="E130" i="12" s="1"/>
  <c r="D129" i="14"/>
  <c r="E129" i="14" s="1"/>
  <c r="D125" i="14"/>
  <c r="E125" i="14" s="1"/>
  <c r="D128" i="14"/>
  <c r="E128" i="14" s="1"/>
  <c r="D127" i="14"/>
  <c r="E127" i="14" s="1"/>
  <c r="D126" i="14"/>
  <c r="E126" i="14" s="1"/>
  <c r="D125" i="12"/>
  <c r="E125" i="12" s="1"/>
  <c r="D129" i="12"/>
  <c r="E129" i="12" s="1"/>
  <c r="D128" i="12"/>
  <c r="E128" i="12" s="1"/>
  <c r="D127" i="12"/>
  <c r="E127" i="12" s="1"/>
  <c r="D125" i="17"/>
  <c r="E125" i="17" s="1"/>
  <c r="D127" i="17"/>
  <c r="E127" i="17" s="1"/>
  <c r="D126" i="17"/>
  <c r="E126" i="17" s="1"/>
  <c r="D129" i="17"/>
  <c r="E129" i="17" s="1"/>
  <c r="D128" i="17"/>
  <c r="E128" i="17" s="1"/>
  <c r="D125" i="16"/>
  <c r="E125" i="16" s="1"/>
  <c r="D129" i="16"/>
  <c r="E129" i="16" s="1"/>
  <c r="D128" i="16"/>
  <c r="E128" i="16" s="1"/>
  <c r="D127" i="16"/>
  <c r="E127" i="16" s="1"/>
  <c r="D126" i="16"/>
  <c r="E126" i="16" s="1"/>
  <c r="E130" i="1" l="1"/>
  <c r="E129" i="1"/>
  <c r="E128" i="1"/>
  <c r="E126" i="1"/>
  <c r="E125" i="1"/>
  <c r="I124" i="18" a="1"/>
  <c r="I124" i="18" s="1"/>
  <c r="C103" i="18"/>
  <c r="C101" i="18"/>
  <c r="E101" i="18" s="1"/>
  <c r="C102" i="18"/>
  <c r="I108" i="18"/>
  <c r="I107" i="18"/>
  <c r="I106" i="18"/>
  <c r="I105" i="18"/>
  <c r="I104" i="18"/>
  <c r="I103" i="18"/>
  <c r="I102" i="18"/>
  <c r="I101" i="18"/>
  <c r="F90" i="18"/>
  <c r="C90" i="18"/>
  <c r="E90" i="18" s="1"/>
  <c r="L89" i="18"/>
  <c r="K89" i="18"/>
  <c r="J89" i="18"/>
  <c r="I89" i="18"/>
  <c r="H89" i="18"/>
  <c r="C86" i="18"/>
  <c r="B140" i="18"/>
  <c r="B139" i="18"/>
  <c r="B138" i="18"/>
  <c r="B137" i="18"/>
  <c r="B136" i="18"/>
  <c r="C135" i="18"/>
  <c r="C134" i="18"/>
  <c r="C133" i="18"/>
  <c r="B133" i="18"/>
  <c r="F89" i="18"/>
  <c r="C85" i="18"/>
  <c r="C84" i="18"/>
  <c r="C83" i="18"/>
  <c r="J125" i="18" a="1"/>
  <c r="H126" i="18" a="1"/>
  <c r="H127" i="18" a="1"/>
  <c r="K124" i="18" a="1"/>
  <c r="K126" i="18" a="1"/>
  <c r="J127" i="18" a="1"/>
  <c r="J126" i="18" a="1"/>
  <c r="H125" i="18" a="1"/>
  <c r="J128" i="18" a="1"/>
  <c r="H124" i="18" a="1"/>
  <c r="K127" i="18" a="1"/>
  <c r="C117" i="18" a="1"/>
  <c r="D117" i="18" a="1"/>
  <c r="H128" i="18" a="1"/>
  <c r="C98" i="18" a="1"/>
  <c r="K125" i="18" a="1"/>
  <c r="K128" i="18" a="1"/>
  <c r="J124" i="18" a="1"/>
  <c r="H86" i="18" l="1"/>
  <c r="E102" i="18"/>
  <c r="D117" i="18"/>
  <c r="C88" i="18"/>
  <c r="C94" i="18"/>
  <c r="C95" i="18"/>
  <c r="C96" i="18"/>
  <c r="E103" i="18"/>
  <c r="C97" i="18"/>
  <c r="C93" i="18"/>
  <c r="L90" i="18"/>
  <c r="C87" i="18"/>
  <c r="C98" i="18"/>
  <c r="H90" i="18"/>
  <c r="I90" i="18"/>
  <c r="J90" i="18"/>
  <c r="K90" i="18"/>
  <c r="C89" i="18"/>
  <c r="E89" i="18" s="1"/>
  <c r="F86" i="18"/>
  <c r="K124" i="18"/>
  <c r="K128" i="18"/>
  <c r="K127" i="18"/>
  <c r="K126" i="18"/>
  <c r="K125" i="18"/>
  <c r="J128" i="18"/>
  <c r="J127" i="18"/>
  <c r="J125" i="18"/>
  <c r="J124" i="18"/>
  <c r="J126" i="18"/>
  <c r="H124" i="18"/>
  <c r="H125" i="18"/>
  <c r="H128" i="18"/>
  <c r="H127" i="18"/>
  <c r="H126" i="18"/>
  <c r="C117" i="18"/>
  <c r="C118" i="18" s="1"/>
  <c r="C81" i="18"/>
  <c r="D118" i="18" a="1"/>
  <c r="G118" i="18" a="1"/>
  <c r="B135" i="18" l="1"/>
  <c r="D95" i="18"/>
  <c r="F87" i="18"/>
  <c r="G118" i="18"/>
  <c r="D118" i="18"/>
  <c r="D81" i="18"/>
  <c r="D93" i="18"/>
  <c r="D94" i="18"/>
  <c r="C82" i="18"/>
  <c r="B134" i="18"/>
  <c r="L127" i="18"/>
  <c r="L126" i="18"/>
  <c r="L128" i="18"/>
  <c r="L125" i="18"/>
  <c r="L124" i="18"/>
  <c r="C122" i="18"/>
  <c r="C120" i="18"/>
  <c r="C121" i="18"/>
  <c r="C119" i="18"/>
  <c r="D97" i="18"/>
  <c r="D96" i="18"/>
  <c r="D120" i="18" a="1"/>
  <c r="G120" i="18" a="1"/>
  <c r="D121" i="18" a="1"/>
  <c r="D119" i="18" a="1"/>
  <c r="G121" i="18" a="1"/>
  <c r="G122" i="18" a="1"/>
  <c r="D122" i="18" a="1"/>
  <c r="G119" i="18" a="1"/>
  <c r="G119" i="18" l="1"/>
  <c r="H119" i="18" s="1"/>
  <c r="D119" i="18"/>
  <c r="G121" i="18"/>
  <c r="H121" i="18" s="1"/>
  <c r="D121" i="18"/>
  <c r="G122" i="18"/>
  <c r="H122" i="18" s="1"/>
  <c r="D122" i="18"/>
  <c r="G120" i="18"/>
  <c r="H120" i="18" s="1"/>
  <c r="D120" i="18"/>
  <c r="M124" i="18"/>
  <c r="D125" i="18" s="1"/>
  <c r="N126" i="18"/>
  <c r="N127" i="18"/>
  <c r="N128" i="18"/>
  <c r="C129" i="18"/>
  <c r="C130" i="18"/>
  <c r="C127" i="18"/>
  <c r="C128" i="18"/>
  <c r="C125" i="18"/>
  <c r="C126" i="18"/>
  <c r="H118" i="18"/>
  <c r="F118" i="18"/>
  <c r="F119" i="18" l="1"/>
  <c r="F122" i="18"/>
  <c r="F121" i="18"/>
  <c r="F120" i="18"/>
  <c r="E125" i="18"/>
  <c r="E120" i="18"/>
  <c r="E118" i="18"/>
  <c r="E121" i="18"/>
  <c r="E122" i="18"/>
  <c r="E119" i="18"/>
  <c r="D129" i="18"/>
  <c r="D130" i="18"/>
  <c r="D127" i="18"/>
  <c r="D128" i="18"/>
  <c r="D126" i="18"/>
  <c r="E130" i="18" l="1"/>
  <c r="E129" i="18"/>
  <c r="E128" i="18"/>
  <c r="E127" i="18"/>
  <c r="E126" i="18"/>
  <c r="I125" i="16"/>
  <c r="I125" i="15"/>
  <c r="I125" i="13"/>
  <c r="I125" i="12"/>
  <c r="I125" i="11"/>
  <c r="I125" i="5"/>
  <c r="I1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<sst xmlns="http://schemas.openxmlformats.org/spreadsheetml/2006/main" count="3853" uniqueCount="126">
  <si>
    <t>标准杆</t>
  </si>
  <si>
    <t>杆</t>
  </si>
  <si>
    <t>成绩</t>
  </si>
  <si>
    <t>挥杆&amp;切杆</t>
  </si>
  <si>
    <t>推杆</t>
  </si>
  <si>
    <t>第一杆</t>
  </si>
  <si>
    <t>第一推</t>
  </si>
  <si>
    <t>距离：</t>
  </si>
  <si>
    <t>yd</t>
  </si>
  <si>
    <t>ft</t>
  </si>
  <si>
    <t>方向：</t>
  </si>
  <si>
    <t>第二推</t>
  </si>
  <si>
    <t>球位</t>
  </si>
  <si>
    <t>是否直攻</t>
  </si>
  <si>
    <t>第三推</t>
  </si>
  <si>
    <t>罚杆</t>
  </si>
  <si>
    <t>第二杆</t>
  </si>
  <si>
    <t>第四推</t>
  </si>
  <si>
    <t>第五推</t>
  </si>
  <si>
    <t>第六推</t>
  </si>
  <si>
    <t>第三杆</t>
  </si>
  <si>
    <t>第七推</t>
  </si>
  <si>
    <t>第8推</t>
  </si>
  <si>
    <t>额外罚杆</t>
  </si>
  <si>
    <t>第四杆</t>
  </si>
  <si>
    <t>第五杆</t>
  </si>
  <si>
    <t>第六杆</t>
  </si>
  <si>
    <t>第七杆</t>
  </si>
  <si>
    <t>第八杆</t>
  </si>
  <si>
    <t>第九杆</t>
  </si>
  <si>
    <t>第十杆</t>
  </si>
  <si>
    <t>总罚杆</t>
    <phoneticPr fontId="2" type="noConversion"/>
  </si>
  <si>
    <t>总推杆</t>
    <phoneticPr fontId="2" type="noConversion"/>
  </si>
  <si>
    <t>总挥切杆</t>
    <phoneticPr fontId="2" type="noConversion"/>
  </si>
  <si>
    <t>标On</t>
    <phoneticPr fontId="2" type="noConversion"/>
  </si>
  <si>
    <t>推杆</t>
    <phoneticPr fontId="2" type="noConversion"/>
  </si>
  <si>
    <t>一切一推</t>
    <phoneticPr fontId="2" type="noConversion"/>
  </si>
  <si>
    <t>总成绩</t>
    <phoneticPr fontId="2" type="noConversion"/>
  </si>
  <si>
    <t>开球距离</t>
    <phoneticPr fontId="2" type="noConversion"/>
  </si>
  <si>
    <t>上球道</t>
    <phoneticPr fontId="2" type="noConversion"/>
  </si>
  <si>
    <t>0-3</t>
    <phoneticPr fontId="2" type="noConversion"/>
  </si>
  <si>
    <t>3-9</t>
    <phoneticPr fontId="2" type="noConversion"/>
  </si>
  <si>
    <t>9-15</t>
    <phoneticPr fontId="2" type="noConversion"/>
  </si>
  <si>
    <t>15-30</t>
    <phoneticPr fontId="2" type="noConversion"/>
  </si>
  <si>
    <t>30以上</t>
    <phoneticPr fontId="2" type="noConversion"/>
  </si>
  <si>
    <t>一推</t>
    <phoneticPr fontId="2" type="noConversion"/>
  </si>
  <si>
    <t>三推</t>
    <phoneticPr fontId="2" type="noConversion"/>
  </si>
  <si>
    <t>救球</t>
    <phoneticPr fontId="2" type="noConversion"/>
  </si>
  <si>
    <t>1有切杆</t>
    <phoneticPr fontId="2" type="noConversion"/>
  </si>
  <si>
    <t>2par</t>
    <phoneticPr fontId="2" type="noConversion"/>
  </si>
  <si>
    <t>3不标on</t>
    <phoneticPr fontId="2" type="noConversion"/>
  </si>
  <si>
    <t>最后切杆距离</t>
    <phoneticPr fontId="2" type="noConversion"/>
  </si>
  <si>
    <t>50-75</t>
    <phoneticPr fontId="2" type="noConversion"/>
  </si>
  <si>
    <t>75-100</t>
    <phoneticPr fontId="2" type="noConversion"/>
  </si>
  <si>
    <t>100-125</t>
    <phoneticPr fontId="2" type="noConversion"/>
  </si>
  <si>
    <t>125-150</t>
    <phoneticPr fontId="2" type="noConversion"/>
  </si>
  <si>
    <t>上果岭</t>
    <phoneticPr fontId="2" type="noConversion"/>
  </si>
  <si>
    <t>150-200</t>
    <phoneticPr fontId="2" type="noConversion"/>
  </si>
  <si>
    <t>200以上</t>
    <phoneticPr fontId="2" type="noConversion"/>
  </si>
  <si>
    <t>都是直攻</t>
    <phoneticPr fontId="2" type="noConversion"/>
  </si>
  <si>
    <t>总切杆</t>
    <phoneticPr fontId="2" type="noConversion"/>
  </si>
  <si>
    <t>推杆距离</t>
    <phoneticPr fontId="2" type="noConversion"/>
  </si>
  <si>
    <t>0-10</t>
    <phoneticPr fontId="2" type="noConversion"/>
  </si>
  <si>
    <t>30-40</t>
    <phoneticPr fontId="2" type="noConversion"/>
  </si>
  <si>
    <t>40-50</t>
    <phoneticPr fontId="2" type="noConversion"/>
  </si>
  <si>
    <t>20-30</t>
    <phoneticPr fontId="2" type="noConversion"/>
  </si>
  <si>
    <t>10-20</t>
    <phoneticPr fontId="2" type="noConversion"/>
  </si>
  <si>
    <t>切杆距离</t>
    <phoneticPr fontId="2" type="noConversion"/>
  </si>
  <si>
    <t>沙坑</t>
    <phoneticPr fontId="2" type="noConversion"/>
  </si>
  <si>
    <t>铁杆</t>
    <phoneticPr fontId="2" type="noConversion"/>
  </si>
  <si>
    <t>直攻</t>
    <phoneticPr fontId="2" type="noConversion"/>
  </si>
  <si>
    <t>距离</t>
    <phoneticPr fontId="2" type="noConversion"/>
  </si>
  <si>
    <t>第一攻</t>
    <phoneticPr fontId="2" type="noConversion"/>
  </si>
  <si>
    <t>第二攻</t>
    <phoneticPr fontId="2" type="noConversion"/>
  </si>
  <si>
    <t>第三攻</t>
    <phoneticPr fontId="2" type="noConversion"/>
  </si>
  <si>
    <t>第四攻</t>
    <phoneticPr fontId="2" type="noConversion"/>
  </si>
  <si>
    <t>第五攻</t>
    <phoneticPr fontId="2" type="noConversion"/>
  </si>
  <si>
    <t>球杆</t>
    <phoneticPr fontId="2" type="noConversion"/>
  </si>
  <si>
    <t>铁杆距离</t>
    <phoneticPr fontId="2" type="noConversion"/>
  </si>
  <si>
    <t>总数</t>
    <phoneticPr fontId="2" type="noConversion"/>
  </si>
  <si>
    <t>准确度(ft）</t>
    <phoneticPr fontId="2" type="noConversion"/>
  </si>
  <si>
    <t>成绩</t>
    <phoneticPr fontId="2" type="noConversion"/>
  </si>
  <si>
    <t>标On推杆</t>
    <phoneticPr fontId="2" type="noConversion"/>
  </si>
  <si>
    <t>3杆洞成绩</t>
    <phoneticPr fontId="2" type="noConversion"/>
  </si>
  <si>
    <t>4杆洞成绩</t>
    <phoneticPr fontId="2" type="noConversion"/>
  </si>
  <si>
    <t>5杆洞成绩</t>
    <phoneticPr fontId="2" type="noConversion"/>
  </si>
  <si>
    <t>Birdies</t>
    <phoneticPr fontId="2" type="noConversion"/>
  </si>
  <si>
    <t>Par</t>
    <phoneticPr fontId="2" type="noConversion"/>
  </si>
  <si>
    <t>Bogey</t>
    <phoneticPr fontId="2" type="noConversion"/>
  </si>
  <si>
    <t>Eagle</t>
    <phoneticPr fontId="2" type="noConversion"/>
  </si>
  <si>
    <t>Double Bogey</t>
    <phoneticPr fontId="2" type="noConversion"/>
  </si>
  <si>
    <t>长草</t>
    <phoneticPr fontId="2" type="noConversion"/>
  </si>
  <si>
    <t>直球</t>
    <phoneticPr fontId="2" type="noConversion"/>
  </si>
  <si>
    <t>偏左</t>
    <phoneticPr fontId="2" type="noConversion"/>
  </si>
  <si>
    <t>偏右</t>
    <phoneticPr fontId="2" type="noConversion"/>
  </si>
  <si>
    <t>1推</t>
    <phoneticPr fontId="2" type="noConversion"/>
  </si>
  <si>
    <t>2推</t>
    <phoneticPr fontId="2" type="noConversion"/>
  </si>
  <si>
    <t>3推</t>
    <phoneticPr fontId="2" type="noConversion"/>
  </si>
  <si>
    <t>4推</t>
    <phoneticPr fontId="2" type="noConversion"/>
  </si>
  <si>
    <t>5推</t>
    <phoneticPr fontId="2" type="noConversion"/>
  </si>
  <si>
    <t>6推</t>
    <phoneticPr fontId="2" type="noConversion"/>
  </si>
  <si>
    <t>7推</t>
    <phoneticPr fontId="2" type="noConversion"/>
  </si>
  <si>
    <t>8推</t>
    <phoneticPr fontId="2" type="noConversion"/>
  </si>
  <si>
    <t>是否三推</t>
    <phoneticPr fontId="2" type="noConversion"/>
  </si>
  <si>
    <t>剩余距离</t>
    <phoneticPr fontId="2" type="noConversion"/>
  </si>
  <si>
    <t>成绩核对</t>
    <phoneticPr fontId="2" type="noConversion"/>
  </si>
  <si>
    <t>PAR or less</t>
    <phoneticPr fontId="2" type="noConversion"/>
  </si>
  <si>
    <t>标记</t>
    <phoneticPr fontId="2" type="noConversion"/>
  </si>
  <si>
    <t>是否上果岭</t>
    <phoneticPr fontId="2" type="noConversion"/>
  </si>
  <si>
    <t>是否直攻</t>
    <phoneticPr fontId="2" type="noConversion"/>
  </si>
  <si>
    <t>距洞口距离</t>
    <phoneticPr fontId="2" type="noConversion"/>
  </si>
  <si>
    <t>是否沙坑</t>
    <phoneticPr fontId="2" type="noConversion"/>
  </si>
  <si>
    <t>救球条件</t>
    <phoneticPr fontId="2" type="noConversion"/>
  </si>
  <si>
    <t>是否救球</t>
    <phoneticPr fontId="2" type="noConversion"/>
  </si>
  <si>
    <t>1号木标志</t>
    <phoneticPr fontId="2" type="noConversion"/>
  </si>
  <si>
    <t>是否推进</t>
    <phoneticPr fontId="2" type="noConversion"/>
  </si>
  <si>
    <t>1号木</t>
  </si>
  <si>
    <t>偏右</t>
  </si>
  <si>
    <t>球道</t>
  </si>
  <si>
    <t>过渡</t>
  </si>
  <si>
    <t>7铁</t>
  </si>
  <si>
    <t>直攻</t>
  </si>
  <si>
    <t>56度</t>
  </si>
  <si>
    <t>沙坑</t>
  </si>
  <si>
    <t>球道木</t>
  </si>
  <si>
    <t>直球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</si>
</sst>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9" x14ac:knownFonts="1">
    <font>
      <sz val="12"/>
      <color theme="1"/>
      <name val="等线"/>
      <charset val="134"/>
      <scheme val="minor"/>
    </font>
    <font>
      <sz val="10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58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10" fontId="0" fillId="0" borderId="0" xfId="2" applyNumberFormat="1" applyFont="1">
      <alignment vertical="center"/>
    </xf>
    <xf numFmtId="176" fontId="1" fillId="2" borderId="6" xfId="1" applyNumberFormat="1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2" borderId="6" xfId="1" applyNumberFormat="1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5" fillId="2" borderId="9" xfId="1" applyNumberFormat="1" applyFont="1" applyFill="1" applyBorder="1" applyAlignment="1">
      <alignment horizontal="center" vertical="center"/>
    </xf>
    <xf numFmtId="0" fontId="5" fillId="0" borderId="10" xfId="0" applyFont="1" applyBorder="1">
      <alignment vertical="center"/>
    </xf>
    <xf numFmtId="176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5" fillId="0" borderId="0" xfId="0" applyFont="1" applyBorder="1" applyAlignment="1">
      <alignment horizontal="right" vertical="center"/>
    </xf>
    <xf numFmtId="58" fontId="8" fillId="0" borderId="0" xfId="0" quotePrefix="1" applyNumberFormat="1" applyFont="1" applyBorder="1">
      <alignment vertical="center"/>
    </xf>
    <xf numFmtId="0" fontId="8" fillId="0" borderId="0" xfId="0" quotePrefix="1" applyFont="1" applyBorder="1">
      <alignment vertical="center"/>
    </xf>
    <xf numFmtId="176" fontId="8" fillId="0" borderId="0" xfId="0" applyNumberFormat="1" applyFont="1" applyBorder="1">
      <alignment vertical="center"/>
    </xf>
    <xf numFmtId="58" fontId="5" fillId="0" borderId="0" xfId="0" quotePrefix="1" applyNumberFormat="1" applyFont="1" applyBorder="1">
      <alignment vertical="center"/>
    </xf>
    <xf numFmtId="0" fontId="5" fillId="0" borderId="0" xfId="0" quotePrefix="1" applyFont="1" applyBorder="1">
      <alignment vertical="center"/>
    </xf>
    <xf numFmtId="0" fontId="6" fillId="0" borderId="0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abSelected="1" zoomScale="94" zoomScaleNormal="94" workbookViewId="0">
      <selection activeCell="C88" sqref="C88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5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490</v>
      </c>
      <c r="D7" s="20" t="s">
        <v>8</v>
      </c>
      <c r="E7" s="10" t="s">
        <v>7</v>
      </c>
      <c r="F7" s="5">
        <v>5</v>
      </c>
      <c r="G7" s="20" t="s">
        <v>9</v>
      </c>
    </row>
    <row r="8" spans="2:7" ht="16.5" customHeight="1" x14ac:dyDescent="0.25">
      <c r="B8" s="22" t="s">
        <v>10</v>
      </c>
      <c r="C8" s="40" t="s">
        <v>117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/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300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117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120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176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123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119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 t="s">
        <v>122</v>
      </c>
      <c r="D24" s="41"/>
    </row>
    <row r="25" spans="2:11" ht="16.5" customHeight="1" x14ac:dyDescent="0.25">
      <c r="B25" s="10" t="s">
        <v>7</v>
      </c>
      <c r="C25" s="19">
        <v>40</v>
      </c>
      <c r="D25" s="20" t="s">
        <v>8</v>
      </c>
    </row>
    <row r="26" spans="2:11" ht="16.5" customHeight="1" x14ac:dyDescent="0.25">
      <c r="B26" s="22" t="s">
        <v>10</v>
      </c>
      <c r="C26" s="40" t="s">
        <v>125</v>
      </c>
      <c r="D26" s="41"/>
    </row>
    <row r="27" spans="2:11" ht="16.5" customHeight="1" x14ac:dyDescent="0.25">
      <c r="B27" s="22" t="s">
        <v>12</v>
      </c>
      <c r="C27" s="40" t="s">
        <v>118</v>
      </c>
      <c r="D27" s="41"/>
    </row>
    <row r="28" spans="2:11" ht="16.5" customHeight="1" x14ac:dyDescent="0.25">
      <c r="B28" s="22" t="s">
        <v>13</v>
      </c>
      <c r="C28" s="40" t="s">
        <v>121</v>
      </c>
      <c r="D28" s="41"/>
    </row>
    <row r="29" spans="2:11" ht="16.5" customHeight="1" x14ac:dyDescent="0.25">
      <c r="B29" s="10" t="s">
        <v>15</v>
      </c>
      <c r="C29" s="11">
        <v>0</v>
      </c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4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1</v>
      </c>
      <c r="D86" s="32"/>
      <c r="E86" s="32" t="s">
        <v>45</v>
      </c>
      <c r="F86" s="32">
        <f>IF(C86=1,1,0)</f>
        <v>1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1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5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40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 ca="1">IF(AND(C82=TRUE, C87=FALSE),D121,0)</f>
        <v>1</v>
      </c>
      <c r="F121" s="32">
        <f ca="1">IF(D121=0,0,F7)</f>
        <v>5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124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124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38</v>
      </c>
      <c r="I125" s="32">
        <v>25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3</v>
      </c>
      <c r="D2" s="12" t="s">
        <v>1</v>
      </c>
    </row>
    <row r="3" spans="2:7" ht="16.5" customHeight="1" x14ac:dyDescent="0.25">
      <c r="B3" s="10" t="s">
        <v>2</v>
      </c>
      <c r="C3" s="11">
        <v>3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120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116</v>
      </c>
      <c r="D7" s="20" t="s">
        <v>8</v>
      </c>
      <c r="E7" s="10" t="s">
        <v>7</v>
      </c>
      <c r="F7" s="5">
        <v>14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1</v>
      </c>
      <c r="G9" s="20" t="s">
        <v>9</v>
      </c>
    </row>
    <row r="10" spans="2:7" ht="16.5" customHeight="1" x14ac:dyDescent="0.25">
      <c r="B10" s="22" t="s">
        <v>13</v>
      </c>
      <c r="C10" s="40" t="s">
        <v>121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/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/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/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/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111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13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1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116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111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111</v>
      </c>
      <c r="M124" s="32">
        <f ca="1">VLOOKUP(TRUE,K124:L128,2,0)</f>
        <v>111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1</v>
      </c>
      <c r="E127" s="32">
        <f ca="1">IF(D127=0,0,F7)</f>
        <v>14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3</v>
      </c>
      <c r="D2" s="12" t="s">
        <v>1</v>
      </c>
    </row>
    <row r="3" spans="2:7" ht="16.5" customHeight="1" x14ac:dyDescent="0.25">
      <c r="B3" s="10" t="s">
        <v>2</v>
      </c>
      <c r="C3" s="11">
        <v>3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120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136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4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/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/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/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/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130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14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136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t="str" cm="1">
        <f t="array" aca="1" ref="H124" ca="1">IFERROR(INDIRECT("C"&amp;I124) -IF(INDIRECT("C"&amp;(I124+6))=0,ROUND(F7/3,0),INDIRECT("C"&amp;(I124+6))),"")</f>
        <v/>
      </c>
      <c r="I124" s="32" cm="1">
        <f t="array" ref="I124">IFERROR(_xlfn._xlws.FILTER(ROW(C6:C65),C6:C65="直攻","")-3,)</f>
        <v>0</v>
      </c>
      <c r="J124" s="32" t="str" cm="1">
        <f t="array" aca="1" ref="J124" ca="1">IFERROR(INDIRECT("C"&amp;I124-1),"")</f>
        <v/>
      </c>
      <c r="K124" s="32" t="b" cm="1">
        <f t="array" aca="1" ref="K124" ca="1">IF(INDIRECT("C"&amp;I124+6)&gt;0,FALSE,TRUE)</f>
        <v>0</v>
      </c>
      <c r="L124" s="32" t="str">
        <f ca="1">IF(OR(J124="52度",J124="56度"),"",H124)</f>
        <v/>
      </c>
      <c r="M124" s="32" t="e">
        <f ca="1">VLOOKUP(TRUE,K124:L128,2,0)</f>
        <v>#N/A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  <dataValidation type="list" allowBlank="1" showErrorMessage="1" sqref="C42:D42 C48:D48 C54:D54 C24:D24 C30:D30 C60:D60 C36:D36 C6:D6 C12:D12 C18:D18">
      <formula1>"1号木,3号木,球道木,6铁,7铁,8铁,9铁,P杆,52度,56度"</formula1>
    </dataValidation>
  </dataValidation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5" zoomScaleNormal="95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370</v>
      </c>
      <c r="D7" s="20" t="s">
        <v>8</v>
      </c>
      <c r="E7" s="10" t="s">
        <v>7</v>
      </c>
      <c r="F7" s="5">
        <v>12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3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185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117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119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20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185</v>
      </c>
      <c r="D89" s="32"/>
      <c r="E89" s="32">
        <f>IF(C6="1号木",C89,0)</f>
        <v>185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3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9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3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20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12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16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354</v>
      </c>
      <c r="D7" s="20" t="s">
        <v>8</v>
      </c>
      <c r="E7" s="10" t="s">
        <v>7</v>
      </c>
      <c r="F7" s="5">
        <v>36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4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160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13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123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194</v>
      </c>
      <c r="D89" s="32"/>
      <c r="E89" s="32">
        <f>IF(C6="1号木",C89,0)</f>
        <v>194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32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13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36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1</v>
      </c>
      <c r="H119" s="32">
        <f ca="1">IF(G119=0,0,F7)</f>
        <v>36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147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147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1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1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1" zoomScaleNormal="91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350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2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180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117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119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35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170</v>
      </c>
      <c r="D89" s="32"/>
      <c r="E89" s="32">
        <f>IF(C6="1号木",C89,0)</f>
        <v>170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35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>IF(AND(C82=TRUE, C87=FALSE),D121,0)</f>
        <v>0</v>
      </c>
      <c r="F121" s="32">
        <f ca="1">IF(D121=0,0,F7)</f>
        <v>21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28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H13" sqref="H13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3</v>
      </c>
      <c r="D2" s="12" t="s">
        <v>1</v>
      </c>
    </row>
    <row r="3" spans="2:7" ht="16.5" customHeight="1" x14ac:dyDescent="0.25">
      <c r="B3" s="10" t="s">
        <v>2</v>
      </c>
      <c r="C3" s="11">
        <v>3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120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151</v>
      </c>
      <c r="D7" s="20" t="s">
        <v>8</v>
      </c>
      <c r="E7" s="10" t="s">
        <v>7</v>
      </c>
      <c r="F7" s="5">
        <v>48</v>
      </c>
      <c r="G7" s="20" t="s">
        <v>9</v>
      </c>
    </row>
    <row r="8" spans="2:7" ht="16.5" customHeight="1" x14ac:dyDescent="0.25">
      <c r="B8" s="22" t="s">
        <v>10</v>
      </c>
      <c r="C8" s="40" t="s">
        <v>117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9</v>
      </c>
      <c r="G9" s="20" t="s">
        <v>9</v>
      </c>
    </row>
    <row r="10" spans="2:7" ht="16.5" customHeight="1" x14ac:dyDescent="0.25">
      <c r="B10" s="22" t="s">
        <v>13</v>
      </c>
      <c r="C10" s="40" t="s">
        <v>121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/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/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/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/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135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9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39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9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151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135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135</v>
      </c>
      <c r="M124" s="32">
        <f ca="1">VLOOKUP(TRUE,K124:L128,2,0)</f>
        <v>135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48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1" zoomScaleNormal="81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4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320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3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151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169</v>
      </c>
      <c r="D89" s="32"/>
      <c r="E89" s="32">
        <f>IF(C6="1号木",C89,0)</f>
        <v>169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3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18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3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151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144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144</v>
      </c>
      <c r="M124" s="32">
        <f ca="1">VLOOKUP(TRUE,K124:L128,2,0)</f>
        <v>144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21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2" sqref="F12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5</v>
      </c>
      <c r="D2" s="12" t="s">
        <v>1</v>
      </c>
    </row>
    <row r="3" spans="2:7" ht="16.5" customHeight="1" x14ac:dyDescent="0.25">
      <c r="B3" s="10" t="s">
        <v>2</v>
      </c>
      <c r="C3" s="11">
        <v>6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487</v>
      </c>
      <c r="D7" s="20" t="s">
        <v>8</v>
      </c>
      <c r="E7" s="10" t="s">
        <v>7</v>
      </c>
      <c r="F7" s="5">
        <v>39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6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>
        <v>1</v>
      </c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290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119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120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93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6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3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1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3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197</v>
      </c>
      <c r="D89" s="32"/>
      <c r="E89" s="32">
        <f>IF(C6="1号木",C89,0)</f>
        <v>197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33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5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1</v>
      </c>
      <c r="D103" s="32"/>
      <c r="E103" s="32">
        <f>IF(C103=0,0,IF(COUNTIF(I101:I108,"&gt;0")&gt;2,1,0))</f>
        <v>1</v>
      </c>
      <c r="F103" s="32"/>
      <c r="G103" s="32"/>
      <c r="H103" s="32" t="s">
        <v>97</v>
      </c>
      <c r="I103" s="36">
        <f>F11-F13</f>
        <v>1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93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80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80</v>
      </c>
      <c r="M124" s="32">
        <f ca="1">VLOOKUP(TRUE,K124:L128,2,0)</f>
        <v>80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1</v>
      </c>
      <c r="D126" s="32">
        <f ca="1">COUNTIFS(M124,"&gt;75",M124,"&lt;=100")</f>
        <v>1</v>
      </c>
      <c r="E126" s="32">
        <f ca="1">IF(D126=0,0,F7)</f>
        <v>39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6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0" zoomScaleNormal="70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4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350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2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180</v>
      </c>
      <c r="D89" s="32"/>
      <c r="E89" s="32">
        <f>IF(C6="1号木",C89,0)</f>
        <v>180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170</v>
      </c>
      <c r="D117" s="32" t="str" cm="1">
        <f t="array" aca="1" ref="D117" ca="1">IFERROR(INDIRECT("C"&amp;(C84*6)),0)</f>
        <v>球道木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163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163</v>
      </c>
      <c r="M124" s="32">
        <f ca="1">VLOOKUP(TRUE,K124:L128,2,0)</f>
        <v>163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1</v>
      </c>
      <c r="D129" s="32">
        <f ca="1">COUNTIFS(M124,"&gt;150",M124,"&lt;=200")</f>
        <v>1</v>
      </c>
      <c r="E129" s="32">
        <f ca="1">IF(D129=0,0,F7)</f>
        <v>21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0" zoomScaleNormal="70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340</v>
      </c>
      <c r="D7" s="20" t="s">
        <v>8</v>
      </c>
      <c r="E7" s="10" t="s">
        <v>7</v>
      </c>
      <c r="F7" s="5">
        <v>33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4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150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27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29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27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1</v>
      </c>
      <c r="D120" s="32" cm="1">
        <f t="array" aca="1" ref="D120" ca="1">IFERROR(IF(INDIRECT("C"&amp;(C84*6))="52度",C120,0) + IF(INDIRECT("C"&amp;(C84*6))="56度",C120,0),0)</f>
        <v>1</v>
      </c>
      <c r="E120" s="32">
        <f>IF(AND(C82=TRUE, C87=FALSE),D120,0)</f>
        <v>0</v>
      </c>
      <c r="F120" s="32">
        <f ca="1">IF(D120=0,0,F7)</f>
        <v>33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123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123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16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C7" zoomScale="88" zoomScaleNormal="88" workbookViewId="0">
      <selection activeCell="F9" sqref="F9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3</v>
      </c>
      <c r="D2" s="12" t="s">
        <v>1</v>
      </c>
    </row>
    <row r="3" spans="2:7" ht="16.5" customHeight="1" x14ac:dyDescent="0.25">
      <c r="B3" s="10" t="s">
        <v>2</v>
      </c>
      <c r="C3" s="11">
        <v>4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120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136</v>
      </c>
      <c r="D7" s="20" t="s">
        <v>8</v>
      </c>
      <c r="E7" s="10" t="s">
        <v>7</v>
      </c>
      <c r="F7" s="5">
        <v>9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2</v>
      </c>
      <c r="G9" s="20" t="s">
        <v>9</v>
      </c>
    </row>
    <row r="10" spans="2:7" ht="16.5" customHeight="1" x14ac:dyDescent="0.25">
      <c r="B10" s="22" t="s">
        <v>13</v>
      </c>
      <c r="C10" s="40" t="s">
        <v>121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122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19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117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7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19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9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117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117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16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4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6" zoomScaleNormal="86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4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298</v>
      </c>
      <c r="D7" s="20" t="s">
        <v>8</v>
      </c>
      <c r="E7" s="10" t="s">
        <v>7</v>
      </c>
      <c r="F7" s="5">
        <v>1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/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120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16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1</v>
      </c>
      <c r="D86" s="32"/>
      <c r="E86" s="32" t="s">
        <v>45</v>
      </c>
      <c r="F86" s="32">
        <f>IF(C86=1,1,0)</f>
        <v>1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1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178</v>
      </c>
      <c r="D89" s="32"/>
      <c r="E89" s="32">
        <f>IF(C6="1号木",C89,0)</f>
        <v>178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16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 ca="1">IF(AND(C82=TRUE, C87=FALSE),D119,0)</f>
        <v>1</v>
      </c>
      <c r="F119" s="32">
        <f t="shared" ref="F119" ca="1" si="0">IF(D119=0,0,F7)</f>
        <v>1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104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104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16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5" zoomScaleNormal="75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5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483</v>
      </c>
      <c r="D7" s="20" t="s">
        <v>8</v>
      </c>
      <c r="E7" s="10" t="s">
        <v>7</v>
      </c>
      <c r="F7" s="5">
        <v>27</v>
      </c>
      <c r="G7" s="20" t="s">
        <v>9</v>
      </c>
    </row>
    <row r="8" spans="2:7" ht="16.5" customHeight="1" x14ac:dyDescent="0.25">
      <c r="B8" s="22" t="s">
        <v>10</v>
      </c>
      <c r="C8" s="40" t="s">
        <v>117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4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297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119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120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153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186</v>
      </c>
      <c r="D89" s="32"/>
      <c r="E89" s="32">
        <f>IF(C6="1号木",C89,0)</f>
        <v>186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23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153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144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144</v>
      </c>
      <c r="M124" s="32">
        <f ca="1">VLOOKUP(TRUE,K124:L128,2,0)</f>
        <v>144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27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8" zoomScaleNormal="78" workbookViewId="0">
      <selection activeCell="F8" sqref="F8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3</v>
      </c>
      <c r="D2" s="12" t="s">
        <v>1</v>
      </c>
    </row>
    <row r="3" spans="2:7" ht="16.5" customHeight="1" x14ac:dyDescent="0.25">
      <c r="B3" s="10" t="s">
        <v>2</v>
      </c>
      <c r="C3" s="11">
        <v>3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120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156</v>
      </c>
      <c r="D7" s="20" t="s">
        <v>8</v>
      </c>
      <c r="E7" s="10" t="s">
        <v>7</v>
      </c>
      <c r="F7" s="5">
        <v>2</v>
      </c>
      <c r="G7" s="20" t="s">
        <v>9</v>
      </c>
    </row>
    <row r="8" spans="2:7" ht="16.5" customHeight="1" x14ac:dyDescent="0.25">
      <c r="B8" s="22" t="s">
        <v>10</v>
      </c>
      <c r="C8" s="40" t="s">
        <v>117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/>
      <c r="G9" s="20" t="s">
        <v>9</v>
      </c>
    </row>
    <row r="10" spans="2:7" ht="16.5" customHeight="1" x14ac:dyDescent="0.25">
      <c r="B10" s="22" t="s">
        <v>13</v>
      </c>
      <c r="C10" s="40" t="s">
        <v>121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122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17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1</v>
      </c>
      <c r="D86" s="32"/>
      <c r="E86" s="32" t="s">
        <v>45</v>
      </c>
      <c r="F86" s="32">
        <f>IF(C86=1,1,0)</f>
        <v>1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1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139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2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17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 ca="1">IF(AND(C82=TRUE, C87=FALSE),D119,0)</f>
        <v>1</v>
      </c>
      <c r="F119" s="32">
        <f t="shared" ref="F119" ca="1" si="0">IF(D119=0,0,F7)</f>
        <v>2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139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139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16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1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4" zoomScale="76" zoomScaleNormal="76" workbookViewId="0">
      <selection activeCell="F8" sqref="F8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4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330</v>
      </c>
      <c r="D7" s="20" t="s">
        <v>8</v>
      </c>
      <c r="E7" s="10" t="s">
        <v>7</v>
      </c>
      <c r="F7" s="5">
        <v>5</v>
      </c>
      <c r="G7" s="20" t="s">
        <v>9</v>
      </c>
    </row>
    <row r="8" spans="2:7" ht="16.5" customHeight="1" x14ac:dyDescent="0.25">
      <c r="B8" s="22" t="s">
        <v>10</v>
      </c>
      <c r="C8" s="40" t="s">
        <v>117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/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126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122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10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1</v>
      </c>
      <c r="D86" s="32"/>
      <c r="E86" s="32" t="s">
        <v>45</v>
      </c>
      <c r="F86" s="32">
        <f>IF(C86=1,1,0)</f>
        <v>1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0</v>
      </c>
      <c r="D87" s="32"/>
      <c r="E87" s="32" t="s">
        <v>82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1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204</v>
      </c>
      <c r="D89" s="32"/>
      <c r="E89" s="32">
        <f>IF(C6="1号木",C89,0)</f>
        <v>204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5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10</v>
      </c>
      <c r="D117" s="32" t="str" cm="1">
        <f t="array" aca="1" ref="D117" ca="1">IFERROR(INDIRECT("C"&amp;(C84*6)),0)</f>
        <v>56度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1</v>
      </c>
      <c r="D118" s="32" cm="1">
        <f t="array" aca="1" ref="D118" ca="1">IFERROR(IF(INDIRECT("C"&amp;(C84*6))="52度",C118,0) + IF(INDIRECT("C"&amp;(C84*6))="56度",C118,0),0)</f>
        <v>1</v>
      </c>
      <c r="E118" s="32">
        <f ca="1">IF(AND(C82=TRUE, C87=FALSE),D118,0)</f>
        <v>1</v>
      </c>
      <c r="F118" s="32">
        <f ca="1">IF(D118=0,0,F7)</f>
        <v>5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116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116</v>
      </c>
      <c r="M124" s="32" t="str">
        <f ca="1">VLOOKUP(TRUE,K124:L128,2,0)</f>
        <v/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73</v>
      </c>
      <c r="H125" s="32" cm="1">
        <f t="array" aca="1" ref="H125" ca="1">IFERROR(INDIRECT("C"&amp;I125)-IF(INDIRECT("C"&amp;(I125+6))=0,ROUND(F7/3,0),INDIRECT("C"&amp;(I125+6))),"")</f>
        <v>8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dataConsolidate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4"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5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473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2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 x14ac:dyDescent="0.25">
      <c r="B12" s="13" t="s">
        <v>16</v>
      </c>
      <c r="C12" s="40" t="s">
        <v>124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270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119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 t="s">
        <v>120</v>
      </c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>
        <v>64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 t="s">
        <v>125</v>
      </c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 t="s">
        <v>118</v>
      </c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 t="s">
        <v>121</v>
      </c>
      <c r="D22" s="41"/>
      <c r="K22" s="27"/>
    </row>
    <row r="23" spans="2:11" ht="16.5" customHeight="1" x14ac:dyDescent="0.25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2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203</v>
      </c>
      <c r="D89" s="32"/>
      <c r="E89" s="32">
        <f>IF(C6="1号木",C89,0)</f>
        <v>203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16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97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64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58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58</v>
      </c>
      <c r="M124" s="32">
        <f ca="1">VLOOKUP(TRUE,K124:L128,2,0)</f>
        <v>58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1</v>
      </c>
      <c r="D125" s="32">
        <f ca="1">COUNTIFS(M124,"&gt;50",M124,"&lt;=75")</f>
        <v>1</v>
      </c>
      <c r="E125" s="32">
        <f ca="1">IF(D125=0,0,F7)</f>
        <v>18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Normal="100" workbookViewId="0">
      <selection activeCell="F12" sqref="F12"/>
    </sheetView>
  </sheetViews>
  <sheetFormatPr defaultColWidth="8" defaultRowHeight="16.5" customHeight="1" x14ac:dyDescent="0.25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 x14ac:dyDescent="0.25">
      <c r="B1" s="7"/>
      <c r="C1" s="8"/>
    </row>
    <row r="2" spans="2:7" ht="16.5" customHeight="1" x14ac:dyDescent="0.25">
      <c r="B2" s="10" t="s">
        <v>0</v>
      </c>
      <c r="C2" s="11">
        <v>4</v>
      </c>
      <c r="D2" s="12" t="s">
        <v>1</v>
      </c>
    </row>
    <row r="3" spans="2:7" ht="16.5" customHeight="1" x14ac:dyDescent="0.25">
      <c r="B3" s="10" t="s">
        <v>2</v>
      </c>
      <c r="C3" s="11">
        <v>5</v>
      </c>
      <c r="D3" s="12" t="s">
        <v>1</v>
      </c>
    </row>
    <row r="4" spans="2:7" ht="16.5" customHeight="1" x14ac:dyDescent="0.25">
      <c r="B4" s="7"/>
      <c r="C4" s="7"/>
    </row>
    <row r="5" spans="2:7" ht="16.5" customHeight="1" x14ac:dyDescent="0.25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 x14ac:dyDescent="0.25">
      <c r="B6" s="16" t="s">
        <v>5</v>
      </c>
      <c r="C6" s="40" t="s">
        <v>116</v>
      </c>
      <c r="D6" s="41"/>
      <c r="E6" s="16" t="s">
        <v>6</v>
      </c>
      <c r="F6" s="17"/>
      <c r="G6" s="18"/>
    </row>
    <row r="7" spans="2:7" ht="16.5" customHeight="1" x14ac:dyDescent="0.25">
      <c r="B7" s="10" t="s">
        <v>7</v>
      </c>
      <c r="C7" s="19">
        <v>320</v>
      </c>
      <c r="D7" s="20" t="s">
        <v>8</v>
      </c>
      <c r="E7" s="10" t="s">
        <v>7</v>
      </c>
      <c r="F7" s="5">
        <v>39</v>
      </c>
      <c r="G7" s="20" t="s">
        <v>9</v>
      </c>
    </row>
    <row r="8" spans="2:7" ht="16.5" customHeight="1" x14ac:dyDescent="0.25">
      <c r="B8" s="22" t="s">
        <v>10</v>
      </c>
      <c r="C8" s="40" t="s">
        <v>125</v>
      </c>
      <c r="D8" s="41"/>
      <c r="E8" s="13" t="s">
        <v>11</v>
      </c>
      <c r="F8" s="6"/>
      <c r="G8" s="12"/>
    </row>
    <row r="9" spans="2:7" ht="16.5" customHeight="1" x14ac:dyDescent="0.25">
      <c r="B9" s="22" t="s">
        <v>12</v>
      </c>
      <c r="C9" s="40" t="s">
        <v>118</v>
      </c>
      <c r="D9" s="41"/>
      <c r="E9" s="10" t="s">
        <v>7</v>
      </c>
      <c r="F9" s="5">
        <v>9</v>
      </c>
      <c r="G9" s="20" t="s">
        <v>9</v>
      </c>
    </row>
    <row r="10" spans="2:7" ht="16.5" customHeight="1" x14ac:dyDescent="0.25">
      <c r="B10" s="22" t="s">
        <v>13</v>
      </c>
      <c r="C10" s="40" t="s">
        <v>119</v>
      </c>
      <c r="D10" s="41"/>
      <c r="E10" s="13" t="s">
        <v>14</v>
      </c>
      <c r="F10" s="6"/>
      <c r="G10" s="12"/>
    </row>
    <row r="11" spans="2:7" ht="16.5" customHeight="1" x14ac:dyDescent="0.25">
      <c r="B11" s="10" t="s">
        <v>15</v>
      </c>
      <c r="C11" s="11">
        <v>0</v>
      </c>
      <c r="D11" s="12" t="s">
        <v>1</v>
      </c>
      <c r="E11" s="10" t="s">
        <v>7</v>
      </c>
      <c r="F11" s="5">
        <v>1</v>
      </c>
      <c r="G11" s="20" t="s">
        <v>9</v>
      </c>
    </row>
    <row r="12" spans="2:7" ht="16.5" customHeight="1" x14ac:dyDescent="0.25">
      <c r="B12" s="13" t="s">
        <v>16</v>
      </c>
      <c r="C12" s="40" t="s">
        <v>120</v>
      </c>
      <c r="D12" s="41"/>
      <c r="E12" s="13" t="s">
        <v>17</v>
      </c>
      <c r="F12" s="23"/>
      <c r="G12" s="12"/>
    </row>
    <row r="13" spans="2:7" ht="16.5" customHeight="1" x14ac:dyDescent="0.25">
      <c r="B13" s="10" t="s">
        <v>7</v>
      </c>
      <c r="C13" s="19">
        <v>83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 x14ac:dyDescent="0.25">
      <c r="B14" s="22" t="s">
        <v>10</v>
      </c>
      <c r="C14" s="40" t="s">
        <v>125</v>
      </c>
      <c r="D14" s="42"/>
      <c r="E14" s="13" t="s">
        <v>18</v>
      </c>
      <c r="F14" s="23"/>
      <c r="G14" s="12"/>
    </row>
    <row r="15" spans="2:7" ht="16.5" customHeight="1" x14ac:dyDescent="0.25">
      <c r="B15" s="22" t="s">
        <v>12</v>
      </c>
      <c r="C15" s="40" t="s">
        <v>118</v>
      </c>
      <c r="D15" s="42"/>
      <c r="E15" s="10" t="s">
        <v>7</v>
      </c>
      <c r="F15" s="21"/>
      <c r="G15" s="20" t="s">
        <v>9</v>
      </c>
    </row>
    <row r="16" spans="2:7" ht="16.5" customHeight="1" x14ac:dyDescent="0.25">
      <c r="B16" s="22" t="s">
        <v>13</v>
      </c>
      <c r="C16" s="40" t="s">
        <v>121</v>
      </c>
      <c r="D16" s="42"/>
      <c r="E16" s="13" t="s">
        <v>19</v>
      </c>
      <c r="F16" s="23"/>
      <c r="G16" s="12"/>
    </row>
    <row r="17" spans="2:11" ht="16.5" customHeight="1" x14ac:dyDescent="0.25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 x14ac:dyDescent="0.25">
      <c r="B18" s="13" t="s">
        <v>20</v>
      </c>
      <c r="C18" s="40"/>
      <c r="D18" s="41"/>
      <c r="E18" s="13" t="s">
        <v>21</v>
      </c>
      <c r="F18" s="23"/>
      <c r="G18" s="12"/>
    </row>
    <row r="19" spans="2:11" ht="16.5" customHeight="1" x14ac:dyDescent="0.25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 x14ac:dyDescent="0.25">
      <c r="B20" s="22" t="s">
        <v>10</v>
      </c>
      <c r="C20" s="40"/>
      <c r="D20" s="41"/>
      <c r="E20" s="13" t="s">
        <v>22</v>
      </c>
      <c r="F20" s="24"/>
      <c r="G20" s="20"/>
    </row>
    <row r="21" spans="2:11" ht="16.5" customHeight="1" x14ac:dyDescent="0.25">
      <c r="B21" s="22" t="s">
        <v>12</v>
      </c>
      <c r="C21" s="40"/>
      <c r="D21" s="41"/>
      <c r="E21" s="22" t="s">
        <v>7</v>
      </c>
      <c r="F21" s="25"/>
      <c r="G21" s="26" t="s">
        <v>9</v>
      </c>
    </row>
    <row r="22" spans="2:11" ht="16.5" customHeight="1" x14ac:dyDescent="0.25">
      <c r="B22" s="22" t="s">
        <v>13</v>
      </c>
      <c r="C22" s="40"/>
      <c r="D22" s="41"/>
      <c r="K22" s="27"/>
    </row>
    <row r="23" spans="2:11" ht="16.5" customHeight="1" x14ac:dyDescent="0.25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 x14ac:dyDescent="0.25">
      <c r="B24" s="13" t="s">
        <v>24</v>
      </c>
      <c r="C24" s="40"/>
      <c r="D24" s="41"/>
    </row>
    <row r="25" spans="2:11" ht="16.5" customHeight="1" x14ac:dyDescent="0.25">
      <c r="B25" s="10" t="s">
        <v>7</v>
      </c>
      <c r="C25" s="19"/>
      <c r="D25" s="20" t="s">
        <v>8</v>
      </c>
    </row>
    <row r="26" spans="2:11" ht="16.5" customHeight="1" x14ac:dyDescent="0.25">
      <c r="B26" s="22" t="s">
        <v>10</v>
      </c>
      <c r="C26" s="40"/>
      <c r="D26" s="41"/>
    </row>
    <row r="27" spans="2:11" ht="16.5" customHeight="1" x14ac:dyDescent="0.25">
      <c r="B27" s="22" t="s">
        <v>12</v>
      </c>
      <c r="C27" s="40"/>
      <c r="D27" s="41"/>
    </row>
    <row r="28" spans="2:11" ht="16.5" customHeight="1" x14ac:dyDescent="0.25">
      <c r="B28" s="22" t="s">
        <v>13</v>
      </c>
      <c r="C28" s="40"/>
      <c r="D28" s="41"/>
    </row>
    <row r="29" spans="2:11" ht="16.5" customHeight="1" x14ac:dyDescent="0.25">
      <c r="B29" s="10" t="s">
        <v>15</v>
      </c>
      <c r="C29" s="11"/>
      <c r="D29" s="12" t="s">
        <v>1</v>
      </c>
    </row>
    <row r="30" spans="2:11" ht="16.5" customHeight="1" x14ac:dyDescent="0.25">
      <c r="B30" s="13" t="s">
        <v>25</v>
      </c>
      <c r="C30" s="40"/>
      <c r="D30" s="41"/>
    </row>
    <row r="31" spans="2:11" ht="16.5" customHeight="1" x14ac:dyDescent="0.25">
      <c r="B31" s="10" t="s">
        <v>7</v>
      </c>
      <c r="C31" s="19"/>
      <c r="D31" s="20" t="s">
        <v>8</v>
      </c>
    </row>
    <row r="32" spans="2:11" ht="16.5" customHeight="1" x14ac:dyDescent="0.25">
      <c r="B32" s="22" t="s">
        <v>10</v>
      </c>
      <c r="C32" s="40"/>
      <c r="D32" s="42"/>
    </row>
    <row r="33" spans="2:4" ht="16.5" customHeight="1" x14ac:dyDescent="0.25">
      <c r="B33" s="22" t="s">
        <v>12</v>
      </c>
      <c r="C33" s="40"/>
      <c r="D33" s="42"/>
    </row>
    <row r="34" spans="2:4" ht="16.5" customHeight="1" x14ac:dyDescent="0.25">
      <c r="B34" s="22" t="s">
        <v>13</v>
      </c>
      <c r="C34" s="40"/>
      <c r="D34" s="42"/>
    </row>
    <row r="35" spans="2:4" ht="16.5" customHeight="1" x14ac:dyDescent="0.25">
      <c r="B35" s="10" t="s">
        <v>15</v>
      </c>
      <c r="C35" s="11"/>
      <c r="D35" s="12" t="s">
        <v>1</v>
      </c>
    </row>
    <row r="36" spans="2:4" ht="16.5" customHeight="1" x14ac:dyDescent="0.25">
      <c r="B36" s="13" t="s">
        <v>26</v>
      </c>
      <c r="C36" s="40"/>
      <c r="D36" s="41"/>
    </row>
    <row r="37" spans="2:4" ht="16.5" customHeight="1" x14ac:dyDescent="0.25">
      <c r="B37" s="10" t="s">
        <v>7</v>
      </c>
      <c r="C37" s="19"/>
      <c r="D37" s="20" t="s">
        <v>8</v>
      </c>
    </row>
    <row r="38" spans="2:4" ht="16.5" customHeight="1" x14ac:dyDescent="0.25">
      <c r="B38" s="22" t="s">
        <v>10</v>
      </c>
      <c r="C38" s="40"/>
      <c r="D38" s="41"/>
    </row>
    <row r="39" spans="2:4" ht="16.5" customHeight="1" x14ac:dyDescent="0.25">
      <c r="B39" s="22" t="s">
        <v>12</v>
      </c>
      <c r="C39" s="40"/>
      <c r="D39" s="41"/>
    </row>
    <row r="40" spans="2:4" ht="16.5" customHeight="1" x14ac:dyDescent="0.25">
      <c r="B40" s="22" t="s">
        <v>13</v>
      </c>
      <c r="C40" s="40"/>
      <c r="D40" s="41"/>
    </row>
    <row r="41" spans="2:4" ht="16.5" customHeight="1" x14ac:dyDescent="0.25">
      <c r="B41" s="10" t="s">
        <v>15</v>
      </c>
      <c r="C41" s="11"/>
      <c r="D41" s="12" t="s">
        <v>1</v>
      </c>
    </row>
    <row r="42" spans="2:4" ht="16.5" customHeight="1" x14ac:dyDescent="0.25">
      <c r="B42" s="13" t="s">
        <v>27</v>
      </c>
      <c r="C42" s="40"/>
      <c r="D42" s="41"/>
    </row>
    <row r="43" spans="2:4" ht="16.5" customHeight="1" x14ac:dyDescent="0.25">
      <c r="B43" s="10" t="s">
        <v>7</v>
      </c>
      <c r="C43" s="19"/>
      <c r="D43" s="20" t="s">
        <v>8</v>
      </c>
    </row>
    <row r="44" spans="2:4" ht="16.5" customHeight="1" x14ac:dyDescent="0.25">
      <c r="B44" s="22" t="s">
        <v>10</v>
      </c>
      <c r="C44" s="40"/>
      <c r="D44" s="41"/>
    </row>
    <row r="45" spans="2:4" ht="16.5" customHeight="1" x14ac:dyDescent="0.25">
      <c r="B45" s="22" t="s">
        <v>12</v>
      </c>
      <c r="C45" s="40"/>
      <c r="D45" s="41"/>
    </row>
    <row r="46" spans="2:4" ht="16.5" customHeight="1" x14ac:dyDescent="0.25">
      <c r="B46" s="22" t="s">
        <v>13</v>
      </c>
      <c r="C46" s="40"/>
      <c r="D46" s="41"/>
    </row>
    <row r="47" spans="2:4" ht="16.5" customHeight="1" x14ac:dyDescent="0.25">
      <c r="B47" s="10" t="s">
        <v>15</v>
      </c>
      <c r="C47" s="11"/>
      <c r="D47" s="12" t="s">
        <v>1</v>
      </c>
    </row>
    <row r="48" spans="2:4" ht="16.5" customHeight="1" x14ac:dyDescent="0.25">
      <c r="B48" s="13" t="s">
        <v>28</v>
      </c>
      <c r="C48" s="40"/>
      <c r="D48" s="41"/>
    </row>
    <row r="49" spans="2:4" ht="16.5" customHeight="1" x14ac:dyDescent="0.25">
      <c r="B49" s="10" t="s">
        <v>7</v>
      </c>
      <c r="C49" s="19"/>
      <c r="D49" s="20" t="s">
        <v>8</v>
      </c>
    </row>
    <row r="50" spans="2:4" ht="16.5" customHeight="1" x14ac:dyDescent="0.25">
      <c r="B50" s="22" t="s">
        <v>10</v>
      </c>
      <c r="C50" s="40"/>
      <c r="D50" s="42"/>
    </row>
    <row r="51" spans="2:4" ht="16.5" customHeight="1" x14ac:dyDescent="0.25">
      <c r="B51" s="22" t="s">
        <v>12</v>
      </c>
      <c r="C51" s="40"/>
      <c r="D51" s="42"/>
    </row>
    <row r="52" spans="2:4" ht="16.5" customHeight="1" x14ac:dyDescent="0.25">
      <c r="B52" s="22" t="s">
        <v>13</v>
      </c>
      <c r="C52" s="40"/>
      <c r="D52" s="42"/>
    </row>
    <row r="53" spans="2:4" ht="16.5" customHeight="1" x14ac:dyDescent="0.25">
      <c r="B53" s="10" t="s">
        <v>15</v>
      </c>
      <c r="C53" s="11"/>
      <c r="D53" s="12" t="s">
        <v>1</v>
      </c>
    </row>
    <row r="54" spans="2:4" ht="16.5" customHeight="1" x14ac:dyDescent="0.25">
      <c r="B54" s="13" t="s">
        <v>29</v>
      </c>
      <c r="C54" s="40"/>
      <c r="D54" s="41"/>
    </row>
    <row r="55" spans="2:4" ht="16.5" customHeight="1" x14ac:dyDescent="0.25">
      <c r="B55" s="10" t="s">
        <v>7</v>
      </c>
      <c r="C55" s="19"/>
      <c r="D55" s="20" t="s">
        <v>8</v>
      </c>
    </row>
    <row r="56" spans="2:4" ht="16.5" customHeight="1" x14ac:dyDescent="0.25">
      <c r="B56" s="22" t="s">
        <v>10</v>
      </c>
      <c r="C56" s="40"/>
      <c r="D56" s="41"/>
    </row>
    <row r="57" spans="2:4" ht="16.5" customHeight="1" x14ac:dyDescent="0.25">
      <c r="B57" s="22" t="s">
        <v>12</v>
      </c>
      <c r="C57" s="40"/>
      <c r="D57" s="41"/>
    </row>
    <row r="58" spans="2:4" ht="16.5" customHeight="1" x14ac:dyDescent="0.25">
      <c r="B58" s="22" t="s">
        <v>13</v>
      </c>
      <c r="C58" s="40"/>
      <c r="D58" s="41"/>
    </row>
    <row r="59" spans="2:4" ht="16.5" customHeight="1" x14ac:dyDescent="0.25">
      <c r="B59" s="10" t="s">
        <v>15</v>
      </c>
      <c r="C59" s="11"/>
      <c r="D59" s="12" t="s">
        <v>1</v>
      </c>
    </row>
    <row r="60" spans="2:4" ht="16.5" customHeight="1" x14ac:dyDescent="0.25">
      <c r="B60" s="13" t="s">
        <v>30</v>
      </c>
      <c r="C60" s="40"/>
      <c r="D60" s="41"/>
    </row>
    <row r="61" spans="2:4" ht="16.5" customHeight="1" x14ac:dyDescent="0.25">
      <c r="B61" s="10" t="s">
        <v>7</v>
      </c>
      <c r="C61" s="19"/>
      <c r="D61" s="20" t="s">
        <v>8</v>
      </c>
    </row>
    <row r="62" spans="2:4" ht="16.5" customHeight="1" x14ac:dyDescent="0.25">
      <c r="B62" s="22" t="s">
        <v>10</v>
      </c>
      <c r="C62" s="40"/>
      <c r="D62" s="41"/>
    </row>
    <row r="63" spans="2:4" ht="16.5" customHeight="1" x14ac:dyDescent="0.25">
      <c r="B63" s="22" t="s">
        <v>12</v>
      </c>
      <c r="C63" s="40"/>
      <c r="D63" s="41"/>
    </row>
    <row r="64" spans="2:4" ht="16.5" customHeight="1" x14ac:dyDescent="0.25">
      <c r="B64" s="22" t="s">
        <v>13</v>
      </c>
      <c r="C64" s="40"/>
      <c r="D64" s="41"/>
    </row>
    <row r="65" spans="1:13" ht="16.5" customHeight="1" x14ac:dyDescent="0.25">
      <c r="B65" s="10" t="s">
        <v>15</v>
      </c>
      <c r="C65" s="11"/>
      <c r="D65" s="12" t="s">
        <v>1</v>
      </c>
    </row>
    <row r="66" spans="1:13" ht="16.5" customHeight="1" x14ac:dyDescent="0.25">
      <c r="B66" s="9"/>
      <c r="C66" s="9"/>
    </row>
    <row r="67" spans="1:13" ht="16.5" customHeight="1" x14ac:dyDescent="0.25">
      <c r="B67" s="9"/>
      <c r="C67" s="9"/>
    </row>
    <row r="68" spans="1:13" ht="16.5" customHeight="1" x14ac:dyDescent="0.25">
      <c r="B68" s="9"/>
      <c r="C68" s="9"/>
    </row>
    <row r="69" spans="1:13" ht="16.5" customHeight="1" x14ac:dyDescent="0.25">
      <c r="B69" s="9"/>
      <c r="C69" s="9"/>
    </row>
    <row r="70" spans="1:13" ht="16.5" customHeight="1" x14ac:dyDescent="0.25">
      <c r="B70" s="9"/>
      <c r="C70" s="9"/>
    </row>
    <row r="71" spans="1:13" ht="16.5" customHeight="1" x14ac:dyDescent="0.25">
      <c r="B71" s="9"/>
      <c r="C71" s="9"/>
    </row>
    <row r="72" spans="1:13" ht="16.5" customHeight="1" x14ac:dyDescent="0.25">
      <c r="B72" s="9"/>
      <c r="C72" s="9"/>
    </row>
    <row r="73" spans="1:13" ht="16.5" customHeight="1" x14ac:dyDescent="0.25">
      <c r="B73" s="9"/>
      <c r="C73" s="9"/>
    </row>
    <row r="74" spans="1:13" ht="16.5" customHeight="1" x14ac:dyDescent="0.25">
      <c r="B74" s="9"/>
      <c r="C74" s="9"/>
    </row>
    <row r="75" spans="1:13" ht="16.5" customHeight="1" x14ac:dyDescent="0.25">
      <c r="B75" s="9"/>
      <c r="C75" s="9"/>
    </row>
    <row r="76" spans="1:13" ht="16.5" customHeight="1" x14ac:dyDescent="0.25">
      <c r="B76" s="9"/>
      <c r="C76" s="9"/>
    </row>
    <row r="77" spans="1:13" ht="16.5" customHeight="1" x14ac:dyDescent="0.25">
      <c r="B77" s="9"/>
      <c r="C77" s="9"/>
    </row>
    <row r="78" spans="1:13" ht="16.5" customHeight="1" x14ac:dyDescent="0.25">
      <c r="B78" s="9"/>
      <c r="C78" s="9"/>
    </row>
    <row r="79" spans="1:13" s="29" customFormat="1" ht="16.5" customHeight="1" x14ac:dyDescent="0.25"/>
    <row r="80" spans="1:13" s="29" customFormat="1" ht="16.5" customHeight="1" x14ac:dyDescent="0.25">
      <c r="A80" s="32"/>
      <c r="B80" s="32"/>
      <c r="C80" s="32"/>
      <c r="D80" s="32" t="s">
        <v>105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 x14ac:dyDescent="0.25">
      <c r="A81" s="32"/>
      <c r="B81" s="30" t="s">
        <v>37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 x14ac:dyDescent="0.25">
      <c r="A82" s="32"/>
      <c r="B82" s="30" t="s">
        <v>106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 x14ac:dyDescent="0.25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 x14ac:dyDescent="0.25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 x14ac:dyDescent="0.25">
      <c r="A85" s="32"/>
      <c r="B85" s="30" t="s">
        <v>60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 x14ac:dyDescent="0.25">
      <c r="A86" s="32"/>
      <c r="B86" s="30" t="s">
        <v>32</v>
      </c>
      <c r="C86" s="30">
        <f>COUNT(F6:F21)</f>
        <v>3</v>
      </c>
      <c r="D86" s="32"/>
      <c r="E86" s="32" t="s">
        <v>45</v>
      </c>
      <c r="F86" s="32">
        <f>IF(C86=1,1,0)</f>
        <v>0</v>
      </c>
      <c r="G86" s="32" t="s">
        <v>46</v>
      </c>
      <c r="H86" s="32">
        <f>IF(C86&gt;2,1,0)</f>
        <v>1</v>
      </c>
      <c r="I86" s="32"/>
      <c r="J86" s="32"/>
      <c r="K86" s="32"/>
      <c r="L86" s="32"/>
      <c r="M86" s="32"/>
    </row>
    <row r="87" spans="1:13" s="29" customFormat="1" ht="16.5" customHeight="1" x14ac:dyDescent="0.25">
      <c r="A87" s="32"/>
      <c r="B87" s="30" t="s">
        <v>34</v>
      </c>
      <c r="C87" s="31" t="b">
        <f>C2-C84-C83&gt;=2</f>
        <v>1</v>
      </c>
      <c r="D87" s="32"/>
      <c r="E87" s="32" t="s">
        <v>82</v>
      </c>
      <c r="F87" s="32">
        <f>IF(C87,C86,0)</f>
        <v>3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 x14ac:dyDescent="0.25">
      <c r="A88" s="32"/>
      <c r="B88" s="30" t="s">
        <v>36</v>
      </c>
      <c r="C88" s="31" t="b">
        <f>C85*C86=1</f>
        <v>0</v>
      </c>
      <c r="D88" s="32"/>
      <c r="E88" s="32"/>
      <c r="F88" s="32" t="s">
        <v>114</v>
      </c>
      <c r="G88" s="32"/>
      <c r="H88" s="32" t="s">
        <v>91</v>
      </c>
      <c r="I88" s="32" t="s">
        <v>68</v>
      </c>
      <c r="J88" s="32" t="s">
        <v>92</v>
      </c>
      <c r="K88" s="32" t="s">
        <v>93</v>
      </c>
      <c r="L88" s="32" t="s">
        <v>94</v>
      </c>
      <c r="M88" s="32"/>
    </row>
    <row r="89" spans="1:13" s="29" customFormat="1" ht="16.5" customHeight="1" x14ac:dyDescent="0.25">
      <c r="A89" s="32"/>
      <c r="B89" s="30" t="s">
        <v>38</v>
      </c>
      <c r="C89" s="30">
        <f>IF(C84&gt;1,C7-C13,ROUND(C7-F7/3,0))</f>
        <v>237</v>
      </c>
      <c r="D89" s="32"/>
      <c r="E89" s="32">
        <f>IF(C6="1号木",C89,0)</f>
        <v>237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 x14ac:dyDescent="0.25">
      <c r="A90" s="32"/>
      <c r="B90" s="30" t="s">
        <v>39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 x14ac:dyDescent="0.25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 x14ac:dyDescent="0.25">
      <c r="A92" s="32"/>
      <c r="B92" s="30"/>
      <c r="C92" s="30"/>
      <c r="D92" s="32" t="s">
        <v>115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 x14ac:dyDescent="0.25">
      <c r="A93" s="32" t="s">
        <v>35</v>
      </c>
      <c r="B93" s="32" t="s">
        <v>40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 x14ac:dyDescent="0.25">
      <c r="A94" s="32"/>
      <c r="B94" s="34" t="s">
        <v>41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 x14ac:dyDescent="0.25">
      <c r="A95" s="32"/>
      <c r="B95" s="34" t="s">
        <v>42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 x14ac:dyDescent="0.25">
      <c r="A96" s="32"/>
      <c r="B96" s="35" t="s">
        <v>43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 x14ac:dyDescent="0.25">
      <c r="A97" s="32"/>
      <c r="B97" s="32" t="s">
        <v>44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 x14ac:dyDescent="0.25">
      <c r="A98" s="32"/>
      <c r="B98" s="30" t="s">
        <v>61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 x14ac:dyDescent="0.25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 x14ac:dyDescent="0.25">
      <c r="A100" s="32"/>
      <c r="B100" s="30"/>
      <c r="C100" s="30"/>
      <c r="D100" s="32"/>
      <c r="E100" s="32" t="s">
        <v>103</v>
      </c>
      <c r="F100" s="32"/>
      <c r="G100" s="32"/>
      <c r="H100" s="32"/>
      <c r="I100" s="32" t="s">
        <v>61</v>
      </c>
      <c r="J100" s="32"/>
      <c r="K100" s="32"/>
      <c r="L100" s="32"/>
      <c r="M100" s="32"/>
    </row>
    <row r="101" spans="1:13" s="29" customFormat="1" ht="16.5" customHeight="1" x14ac:dyDescent="0.25">
      <c r="A101" s="32" t="s">
        <v>46</v>
      </c>
      <c r="B101" s="35" t="s">
        <v>42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95</v>
      </c>
      <c r="I101" s="36">
        <f>F7-F9</f>
        <v>30</v>
      </c>
      <c r="J101" s="32"/>
      <c r="K101" s="32"/>
      <c r="L101" s="32"/>
      <c r="M101" s="32"/>
    </row>
    <row r="102" spans="1:13" s="29" customFormat="1" ht="16.5" customHeight="1" x14ac:dyDescent="0.25">
      <c r="A102" s="32"/>
      <c r="B102" s="35" t="s">
        <v>43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96</v>
      </c>
      <c r="I102" s="36">
        <f>F9-F11</f>
        <v>8</v>
      </c>
      <c r="J102" s="32"/>
      <c r="K102" s="32"/>
      <c r="L102" s="32"/>
      <c r="M102" s="32"/>
    </row>
    <row r="103" spans="1:13" s="29" customFormat="1" ht="16.5" customHeight="1" x14ac:dyDescent="0.25">
      <c r="A103" s="32"/>
      <c r="B103" s="32" t="s">
        <v>44</v>
      </c>
      <c r="C103" s="30">
        <f>COUNTIFS(F7,"&gt;30")</f>
        <v>1</v>
      </c>
      <c r="D103" s="32"/>
      <c r="E103" s="32">
        <f>IF(C103=0,0,IF(COUNTIF(I101:I108,"&gt;0")&gt;2,1,0))</f>
        <v>1</v>
      </c>
      <c r="F103" s="32"/>
      <c r="G103" s="32"/>
      <c r="H103" s="32" t="s">
        <v>97</v>
      </c>
      <c r="I103" s="36">
        <f>F11-F13</f>
        <v>1</v>
      </c>
      <c r="J103" s="32"/>
      <c r="K103" s="32"/>
      <c r="L103" s="32"/>
      <c r="M103" s="32"/>
    </row>
    <row r="104" spans="1:13" s="29" customFormat="1" ht="16.5" customHeight="1" x14ac:dyDescent="0.25">
      <c r="A104" s="32"/>
      <c r="B104" s="32"/>
      <c r="C104" s="30"/>
      <c r="D104" s="32"/>
      <c r="E104" s="32"/>
      <c r="F104" s="32"/>
      <c r="G104" s="32"/>
      <c r="H104" s="32" t="s">
        <v>98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 x14ac:dyDescent="0.25">
      <c r="A105" s="32"/>
      <c r="B105" s="32"/>
      <c r="C105" s="30"/>
      <c r="D105" s="32"/>
      <c r="E105" s="32"/>
      <c r="F105" s="32"/>
      <c r="G105" s="32"/>
      <c r="H105" s="32" t="s">
        <v>99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 x14ac:dyDescent="0.25">
      <c r="A106" s="32"/>
      <c r="B106" s="32"/>
      <c r="C106" s="30"/>
      <c r="D106" s="32"/>
      <c r="E106" s="32"/>
      <c r="F106" s="32"/>
      <c r="G106" s="32"/>
      <c r="H106" s="32" t="s">
        <v>100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 x14ac:dyDescent="0.25">
      <c r="A107" s="32"/>
      <c r="B107" s="32"/>
      <c r="C107" s="30"/>
      <c r="D107" s="32"/>
      <c r="E107" s="32"/>
      <c r="F107" s="32"/>
      <c r="G107" s="32"/>
      <c r="H107" s="32" t="s">
        <v>101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 x14ac:dyDescent="0.25">
      <c r="A108" s="32"/>
      <c r="B108" s="32"/>
      <c r="C108" s="30"/>
      <c r="D108" s="32"/>
      <c r="E108" s="32"/>
      <c r="F108" s="32"/>
      <c r="G108" s="32"/>
      <c r="H108" s="32" t="s">
        <v>102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 x14ac:dyDescent="0.25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 x14ac:dyDescent="0.25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 x14ac:dyDescent="0.25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 x14ac:dyDescent="0.25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 x14ac:dyDescent="0.25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 x14ac:dyDescent="0.25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 x14ac:dyDescent="0.25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 x14ac:dyDescent="0.25">
      <c r="A116" s="32"/>
      <c r="B116" s="30"/>
      <c r="C116" s="30"/>
      <c r="D116" s="32" t="s">
        <v>77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 x14ac:dyDescent="0.25">
      <c r="A117" s="32" t="s">
        <v>47</v>
      </c>
      <c r="B117" s="30" t="s">
        <v>67</v>
      </c>
      <c r="C117" s="31" cm="1">
        <f t="array" aca="1" ref="C117" ca="1">INDIRECT("C"&amp;(1+C84*6))</f>
        <v>83</v>
      </c>
      <c r="D117" s="32" t="str" cm="1">
        <f t="array" aca="1" ref="D117" ca="1">IFERROR(INDIRECT("C"&amp;(C84*6)),0)</f>
        <v>7铁</v>
      </c>
      <c r="E117" s="32" t="s">
        <v>113</v>
      </c>
      <c r="F117" s="32" t="s">
        <v>104</v>
      </c>
      <c r="G117" s="32" t="s">
        <v>111</v>
      </c>
      <c r="H117" s="32" t="s">
        <v>104</v>
      </c>
      <c r="I117" s="32" t="s">
        <v>112</v>
      </c>
      <c r="J117" s="32" t="s">
        <v>48</v>
      </c>
      <c r="K117" s="32"/>
      <c r="L117" s="32"/>
      <c r="M117" s="32"/>
    </row>
    <row r="118" spans="1:14" s="29" customFormat="1" ht="16.5" customHeight="1" x14ac:dyDescent="0.25">
      <c r="A118" s="32"/>
      <c r="B118" s="30" t="s">
        <v>62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49</v>
      </c>
      <c r="K118" s="32"/>
      <c r="L118" s="32"/>
      <c r="M118" s="32"/>
    </row>
    <row r="119" spans="1:14" s="29" customFormat="1" ht="16.5" customHeight="1" x14ac:dyDescent="0.25">
      <c r="A119" s="32"/>
      <c r="B119" s="37" t="s">
        <v>66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50</v>
      </c>
      <c r="K119" s="32"/>
      <c r="L119" s="32"/>
      <c r="M119" s="32"/>
    </row>
    <row r="120" spans="1:14" s="29" customFormat="1" ht="16.5" customHeight="1" x14ac:dyDescent="0.25">
      <c r="A120" s="32"/>
      <c r="B120" s="38" t="s">
        <v>65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51</v>
      </c>
      <c r="K120" s="32"/>
      <c r="L120" s="32"/>
      <c r="M120" s="32"/>
    </row>
    <row r="121" spans="1:14" s="29" customFormat="1" ht="16.5" customHeight="1" x14ac:dyDescent="0.25">
      <c r="A121" s="32"/>
      <c r="B121" s="38" t="s">
        <v>63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 x14ac:dyDescent="0.25">
      <c r="A122" s="32"/>
      <c r="B122" s="30" t="s">
        <v>64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 x14ac:dyDescent="0.25">
      <c r="A123" s="32"/>
      <c r="B123" s="30"/>
      <c r="C123" s="31"/>
      <c r="D123" s="32"/>
      <c r="E123" s="32"/>
      <c r="F123" s="32"/>
      <c r="G123" s="32"/>
      <c r="H123" s="32" t="s">
        <v>71</v>
      </c>
      <c r="I123" s="32" t="s">
        <v>109</v>
      </c>
      <c r="J123" s="32" t="s">
        <v>77</v>
      </c>
      <c r="K123" s="32" t="s">
        <v>108</v>
      </c>
      <c r="L123" s="32" t="s">
        <v>78</v>
      </c>
      <c r="M123" s="32" t="s">
        <v>110</v>
      </c>
    </row>
    <row r="124" spans="1:14" s="29" customFormat="1" ht="16.5" customHeight="1" x14ac:dyDescent="0.25">
      <c r="A124" s="32" t="s">
        <v>69</v>
      </c>
      <c r="B124" s="30" t="s">
        <v>70</v>
      </c>
      <c r="C124" s="31" t="s">
        <v>79</v>
      </c>
      <c r="D124" s="32" t="s">
        <v>108</v>
      </c>
      <c r="E124" s="32" t="s">
        <v>80</v>
      </c>
      <c r="F124" s="32"/>
      <c r="G124" s="32" t="s">
        <v>72</v>
      </c>
      <c r="H124" s="32" cm="1">
        <f t="array" aca="1" ref="H124" ca="1">IFERROR(INDIRECT("C"&amp;I124) -IF(INDIRECT("C"&amp;(I124+6))=0,ROUND(F7/3,0),INDIRECT("C"&amp;(I124+6))),"")</f>
        <v>70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70</v>
      </c>
      <c r="M124" s="32">
        <f ca="1">VLOOKUP(TRUE,K124:L128,2,0)</f>
        <v>70</v>
      </c>
    </row>
    <row r="125" spans="1:14" s="29" customFormat="1" ht="16.5" customHeight="1" x14ac:dyDescent="0.25">
      <c r="A125" s="32"/>
      <c r="B125" s="32" t="s">
        <v>52</v>
      </c>
      <c r="C125" s="31">
        <f ca="1">COUNTIFS(L124:L128,"&gt;50",L124:L128,"&lt;=75")</f>
        <v>1</v>
      </c>
      <c r="D125" s="32">
        <f ca="1">COUNTIFS(M124,"&gt;50",M124,"&lt;=75")</f>
        <v>1</v>
      </c>
      <c r="E125" s="32">
        <f ca="1">IF(D125=0,0,F7)</f>
        <v>39</v>
      </c>
      <c r="F125" s="32"/>
      <c r="G125" s="32" t="s">
        <v>73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 x14ac:dyDescent="0.25">
      <c r="A126" s="32"/>
      <c r="B126" s="32" t="s">
        <v>53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74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 x14ac:dyDescent="0.25">
      <c r="A127" s="32"/>
      <c r="B127" s="32" t="s">
        <v>54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75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 x14ac:dyDescent="0.25">
      <c r="A128" s="32"/>
      <c r="B128" s="32" t="s">
        <v>55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76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 x14ac:dyDescent="0.25">
      <c r="A129" s="32"/>
      <c r="B129" s="32" t="s">
        <v>57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 x14ac:dyDescent="0.25">
      <c r="A130" s="32"/>
      <c r="B130" s="32" t="s">
        <v>58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 x14ac:dyDescent="0.25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 x14ac:dyDescent="0.25">
      <c r="A132" s="32"/>
      <c r="B132" s="30" t="s">
        <v>81</v>
      </c>
      <c r="C132" s="31" t="s">
        <v>107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 x14ac:dyDescent="0.25">
      <c r="A133" s="32" t="s">
        <v>83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 x14ac:dyDescent="0.25">
      <c r="A134" s="32" t="s">
        <v>84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 x14ac:dyDescent="0.25">
      <c r="A135" s="32" t="s">
        <v>85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 x14ac:dyDescent="0.25">
      <c r="A136" s="32" t="s">
        <v>89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 x14ac:dyDescent="0.25">
      <c r="A137" s="32" t="s">
        <v>86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 x14ac:dyDescent="0.25">
      <c r="A138" s="32" t="s">
        <v>87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 x14ac:dyDescent="0.25">
      <c r="A139" s="32" t="s">
        <v>88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 x14ac:dyDescent="0.25">
      <c r="A140" s="32" t="s">
        <v>90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 x14ac:dyDescent="0.25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 x14ac:dyDescent="0.25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 x14ac:dyDescent="0.25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 x14ac:dyDescent="0.25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 x14ac:dyDescent="0.25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 x14ac:dyDescent="0.25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 x14ac:dyDescent="0.25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 x14ac:dyDescent="0.25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 x14ac:dyDescent="0.25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 x14ac:dyDescent="0.25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 x14ac:dyDescent="0.25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 x14ac:dyDescent="0.25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 x14ac:dyDescent="0.25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 x14ac:dyDescent="0.25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 x14ac:dyDescent="0.25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 x14ac:dyDescent="0.25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 x14ac:dyDescent="0.25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 x14ac:dyDescent="0.25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 x14ac:dyDescent="0.25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 x14ac:dyDescent="0.25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 x14ac:dyDescent="0.25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 x14ac:dyDescent="0.25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 x14ac:dyDescent="0.25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 x14ac:dyDescent="0.25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 x14ac:dyDescent="0.25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 x14ac:dyDescent="0.25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 x14ac:dyDescent="0.25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 x14ac:dyDescent="0.25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 x14ac:dyDescent="0.25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 x14ac:dyDescent="0.25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 x14ac:dyDescent="0.25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 x14ac:dyDescent="0.25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 x14ac:dyDescent="0.25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 x14ac:dyDescent="0.25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 x14ac:dyDescent="0.25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 x14ac:dyDescent="0.25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 x14ac:dyDescent="0.25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 x14ac:dyDescent="0.25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 x14ac:dyDescent="0.25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 x14ac:dyDescent="0.25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 x14ac:dyDescent="0.25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 x14ac:dyDescent="0.25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 x14ac:dyDescent="0.25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 x14ac:dyDescent="0.25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 x14ac:dyDescent="0.25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 x14ac:dyDescent="0.25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 x14ac:dyDescent="0.25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 x14ac:dyDescent="0.25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 x14ac:dyDescent="0.25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 x14ac:dyDescent="0.25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 x14ac:dyDescent="0.25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 x14ac:dyDescent="0.25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 x14ac:dyDescent="0.25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 x14ac:dyDescent="0.25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 x14ac:dyDescent="0.25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 x14ac:dyDescent="0.25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 x14ac:dyDescent="0.25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 x14ac:dyDescent="0.25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 x14ac:dyDescent="0.25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 x14ac:dyDescent="0.25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 x14ac:dyDescent="0.25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2:D32"/>
    <mergeCell ref="C33:D33"/>
    <mergeCell ref="C34:D34"/>
    <mergeCell ref="C38:D38"/>
    <mergeCell ref="C39:D39"/>
    <mergeCell ref="C40:D40"/>
    <mergeCell ref="C44:D44"/>
    <mergeCell ref="C14:D14"/>
    <mergeCell ref="C15:D15"/>
    <mergeCell ref="C16:D16"/>
    <mergeCell ref="C18:D18"/>
    <mergeCell ref="C24:D24"/>
    <mergeCell ref="C22:D22"/>
    <mergeCell ref="C6:D6"/>
    <mergeCell ref="C8:D8"/>
    <mergeCell ref="C9:D9"/>
    <mergeCell ref="C10:D10"/>
    <mergeCell ref="C12:D12"/>
    <mergeCell ref="C28:D28"/>
    <mergeCell ref="C20:D20"/>
    <mergeCell ref="C21:D21"/>
    <mergeCell ref="C26:D26"/>
    <mergeCell ref="C27:D27"/>
    <mergeCell ref="C56:D56"/>
    <mergeCell ref="C57:D57"/>
    <mergeCell ref="C58:D58"/>
    <mergeCell ref="C45:D45"/>
    <mergeCell ref="C46:D46"/>
    <mergeCell ref="C50:D50"/>
    <mergeCell ref="C51:D51"/>
    <mergeCell ref="C52:D5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8"/>
  <sheetViews>
    <sheetView workbookViewId="0">
      <selection activeCell="C18" sqref="C18:C23"/>
    </sheetView>
  </sheetViews>
  <sheetFormatPr defaultRowHeight="15.75" x14ac:dyDescent="0.25"/>
  <sheetData>
    <row r="6" spans="1:3" x14ac:dyDescent="0.25">
      <c r="B6" s="1" t="s">
        <v>45</v>
      </c>
      <c r="C6" s="1" t="s">
        <v>40</v>
      </c>
    </row>
    <row r="7" spans="1:3" x14ac:dyDescent="0.25">
      <c r="C7" s="2" t="s">
        <v>41</v>
      </c>
    </row>
    <row r="8" spans="1:3" x14ac:dyDescent="0.25">
      <c r="C8" s="2" t="s">
        <v>42</v>
      </c>
    </row>
    <row r="9" spans="1:3" x14ac:dyDescent="0.25">
      <c r="C9" s="3" t="s">
        <v>43</v>
      </c>
    </row>
    <row r="10" spans="1:3" x14ac:dyDescent="0.25">
      <c r="C10" s="1" t="s">
        <v>44</v>
      </c>
    </row>
    <row r="11" spans="1:3" x14ac:dyDescent="0.25">
      <c r="A11" s="1" t="s">
        <v>59</v>
      </c>
      <c r="B11" s="1" t="s">
        <v>46</v>
      </c>
      <c r="C11" s="3" t="s">
        <v>42</v>
      </c>
    </row>
    <row r="12" spans="1:3" x14ac:dyDescent="0.25">
      <c r="C12" s="3" t="s">
        <v>43</v>
      </c>
    </row>
    <row r="13" spans="1:3" x14ac:dyDescent="0.25">
      <c r="C13" s="1" t="s">
        <v>44</v>
      </c>
    </row>
    <row r="14" spans="1:3" x14ac:dyDescent="0.25">
      <c r="B14" s="1" t="s">
        <v>47</v>
      </c>
      <c r="C14" s="1" t="s">
        <v>48</v>
      </c>
    </row>
    <row r="15" spans="1:3" x14ac:dyDescent="0.25">
      <c r="C15" s="1" t="s">
        <v>49</v>
      </c>
    </row>
    <row r="16" spans="1:3" x14ac:dyDescent="0.25">
      <c r="C16" s="1" t="s">
        <v>50</v>
      </c>
    </row>
    <row r="17" spans="2:7" x14ac:dyDescent="0.25">
      <c r="C17" s="1" t="s">
        <v>51</v>
      </c>
    </row>
    <row r="18" spans="2:7" x14ac:dyDescent="0.25">
      <c r="B18" s="1" t="s">
        <v>56</v>
      </c>
      <c r="C18" s="1" t="s">
        <v>52</v>
      </c>
    </row>
    <row r="19" spans="2:7" x14ac:dyDescent="0.25">
      <c r="C19" s="1" t="s">
        <v>53</v>
      </c>
    </row>
    <row r="20" spans="2:7" x14ac:dyDescent="0.25">
      <c r="C20" s="1" t="s">
        <v>54</v>
      </c>
    </row>
    <row r="21" spans="2:7" x14ac:dyDescent="0.25">
      <c r="C21" s="1" t="s">
        <v>55</v>
      </c>
    </row>
    <row r="22" spans="2:7" x14ac:dyDescent="0.25">
      <c r="C22" s="1" t="s">
        <v>57</v>
      </c>
    </row>
    <row r="23" spans="2:7" x14ac:dyDescent="0.25">
      <c r="C23" s="1" t="s">
        <v>58</v>
      </c>
      <c r="E23" s="1"/>
      <c r="G23" s="4"/>
    </row>
    <row r="24" spans="2:7" x14ac:dyDescent="0.25">
      <c r="E24" s="1"/>
      <c r="G24" s="4"/>
    </row>
    <row r="25" spans="2:7" x14ac:dyDescent="0.25">
      <c r="E25" s="1"/>
      <c r="G25" s="4"/>
    </row>
    <row r="26" spans="2:7" x14ac:dyDescent="0.25">
      <c r="E26" s="1"/>
      <c r="G26" s="4"/>
    </row>
    <row r="27" spans="2:7" x14ac:dyDescent="0.25">
      <c r="E27" s="1"/>
      <c r="G27" s="4"/>
    </row>
    <row r="28" spans="2:7" x14ac:dyDescent="0.25">
      <c r="G28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1号洞</vt:lpstr>
      <vt:lpstr>2号洞</vt:lpstr>
      <vt:lpstr>3号洞</vt:lpstr>
      <vt:lpstr>4号洞</vt:lpstr>
      <vt:lpstr>5号洞</vt:lpstr>
      <vt:lpstr>6号洞</vt:lpstr>
      <vt:lpstr>7号洞</vt:lpstr>
      <vt:lpstr>8号洞</vt:lpstr>
      <vt:lpstr>9号洞</vt:lpstr>
      <vt:lpstr>10号洞</vt:lpstr>
      <vt:lpstr>11号洞</vt:lpstr>
      <vt:lpstr>12号洞</vt:lpstr>
      <vt:lpstr>13号洞</vt:lpstr>
      <vt:lpstr>14号洞</vt:lpstr>
      <vt:lpstr>15号洞</vt:lpstr>
      <vt:lpstr>16号洞</vt:lpstr>
      <vt:lpstr>17号洞</vt:lpstr>
      <vt:lpstr>18号洞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windows</cp:lastModifiedBy>
  <dcterms:created xsi:type="dcterms:W3CDTF">2006-09-16T08:00:00Z</dcterms:created>
  <dcterms:modified xsi:type="dcterms:W3CDTF">2026-03-31T18:43:08Z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A69BD57D2B2820325B2FC5675A6F739E_33</vt:lpwstr>
  </property>
  <property fmtid="{D5CDD505-2E9C-101B-9397-08002B2CF9AE}" pid="3" name="KSOProductBuildVer">
    <vt:lpwstr>2052-12.9.0.20326</vt:lpwstr>
  </property>
  <property fmtid="{D5CDD505-2E9C-101B-9397-08002B2CF9AE}" pid="4" name="KSOReadingLayout">
    <vt:bool>false</vt:bool>
  </property>
</Properties>
</file>